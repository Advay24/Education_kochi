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vay\Downloads\"/>
    </mc:Choice>
  </mc:AlternateContent>
  <xr:revisionPtr revIDLastSave="0" documentId="13_ncr:1_{7E8E4D99-7627-4CEE-83E5-BE32934243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ducation_Schools_Final" sheetId="1" r:id="rId1"/>
    <sheet name="Description" sheetId="2" r:id="rId2"/>
  </sheets>
  <definedNames>
    <definedName name="_xlnm._FilterDatabase" localSheetId="0" hidden="1">Education_Schools_Final!$A$1:$DV$49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9VWNLDslrjMVGkfs0C9v1s0RYqXBiDetb0C3BbincgE="/>
    </ext>
  </extLst>
</workbook>
</file>

<file path=xl/calcChain.xml><?xml version="1.0" encoding="utf-8"?>
<calcChain xmlns="http://schemas.openxmlformats.org/spreadsheetml/2006/main">
  <c r="BF49" i="1" l="1"/>
  <c r="BD49" i="1"/>
  <c r="BB49" i="1"/>
  <c r="AZ49" i="1"/>
  <c r="AX49" i="1"/>
  <c r="AV49" i="1"/>
  <c r="AT49" i="1"/>
  <c r="AR49" i="1"/>
  <c r="AO49" i="1"/>
  <c r="AM49" i="1"/>
  <c r="AK49" i="1"/>
  <c r="AI49" i="1"/>
  <c r="AG49" i="1"/>
  <c r="AE49" i="1"/>
  <c r="AC49" i="1"/>
  <c r="AA49" i="1"/>
  <c r="BF48" i="1"/>
  <c r="BD48" i="1"/>
  <c r="BB48" i="1"/>
  <c r="AZ48" i="1"/>
  <c r="AX48" i="1"/>
  <c r="AV48" i="1"/>
  <c r="AT48" i="1"/>
  <c r="AR48" i="1"/>
  <c r="AO48" i="1"/>
  <c r="AM48" i="1"/>
  <c r="AK48" i="1"/>
  <c r="AI48" i="1"/>
  <c r="AG48" i="1"/>
  <c r="AE48" i="1"/>
  <c r="AC48" i="1"/>
  <c r="AA48" i="1"/>
  <c r="BF47" i="1"/>
  <c r="BD47" i="1"/>
  <c r="BB47" i="1"/>
  <c r="AZ47" i="1"/>
  <c r="AX47" i="1"/>
  <c r="AV47" i="1"/>
  <c r="AT47" i="1"/>
  <c r="AR47" i="1"/>
  <c r="AO47" i="1"/>
  <c r="AM47" i="1"/>
  <c r="AK47" i="1"/>
  <c r="AI47" i="1"/>
  <c r="AG47" i="1"/>
  <c r="AE47" i="1"/>
  <c r="AC47" i="1"/>
  <c r="AA47" i="1"/>
  <c r="BF46" i="1"/>
  <c r="BD46" i="1"/>
  <c r="BB46" i="1"/>
  <c r="AZ46" i="1"/>
  <c r="AX46" i="1"/>
  <c r="AV46" i="1"/>
  <c r="AT46" i="1"/>
  <c r="AR46" i="1"/>
  <c r="AO46" i="1"/>
  <c r="AM46" i="1"/>
  <c r="AK46" i="1"/>
  <c r="AI46" i="1"/>
  <c r="AG46" i="1"/>
  <c r="AE46" i="1"/>
  <c r="AC46" i="1"/>
  <c r="AA46" i="1"/>
  <c r="BF45" i="1"/>
  <c r="BD45" i="1"/>
  <c r="BB45" i="1"/>
  <c r="AZ45" i="1"/>
  <c r="AX45" i="1"/>
  <c r="AV45" i="1"/>
  <c r="AT45" i="1"/>
  <c r="AR45" i="1"/>
  <c r="AO45" i="1"/>
  <c r="AM45" i="1"/>
  <c r="AK45" i="1"/>
  <c r="AI45" i="1"/>
  <c r="AG45" i="1"/>
  <c r="AE45" i="1"/>
  <c r="AC45" i="1"/>
  <c r="AA45" i="1"/>
  <c r="BF44" i="1"/>
  <c r="BD44" i="1"/>
  <c r="BB44" i="1"/>
  <c r="AZ44" i="1"/>
  <c r="AX44" i="1"/>
  <c r="AV44" i="1"/>
  <c r="AT44" i="1"/>
  <c r="AR44" i="1"/>
  <c r="AO44" i="1"/>
  <c r="AM44" i="1"/>
  <c r="AK44" i="1"/>
  <c r="AI44" i="1"/>
  <c r="AG44" i="1"/>
  <c r="AE44" i="1"/>
  <c r="AC44" i="1"/>
  <c r="AA44" i="1"/>
  <c r="BF43" i="1"/>
  <c r="BD43" i="1"/>
  <c r="BB43" i="1"/>
  <c r="AZ43" i="1"/>
  <c r="AX43" i="1"/>
  <c r="AV43" i="1"/>
  <c r="AT43" i="1"/>
  <c r="AR43" i="1"/>
  <c r="AO43" i="1"/>
  <c r="AM43" i="1"/>
  <c r="AK43" i="1"/>
  <c r="AI43" i="1"/>
  <c r="AG43" i="1"/>
  <c r="AE43" i="1"/>
  <c r="AC43" i="1"/>
  <c r="AA43" i="1"/>
  <c r="BF42" i="1"/>
  <c r="BD42" i="1"/>
  <c r="BB42" i="1"/>
  <c r="AZ42" i="1"/>
  <c r="AX42" i="1"/>
  <c r="AV42" i="1"/>
  <c r="AT42" i="1"/>
  <c r="AR42" i="1"/>
  <c r="AO42" i="1"/>
  <c r="AM42" i="1"/>
  <c r="AK42" i="1"/>
  <c r="AI42" i="1"/>
  <c r="AG42" i="1"/>
  <c r="AE42" i="1"/>
  <c r="AC42" i="1"/>
  <c r="AA42" i="1"/>
  <c r="BF41" i="1"/>
  <c r="BD41" i="1"/>
  <c r="BB41" i="1"/>
  <c r="AZ41" i="1"/>
  <c r="AX41" i="1"/>
  <c r="AV41" i="1"/>
  <c r="AT41" i="1"/>
  <c r="AR41" i="1"/>
  <c r="AO41" i="1"/>
  <c r="AM41" i="1"/>
  <c r="AK41" i="1"/>
  <c r="AI41" i="1"/>
  <c r="AG41" i="1"/>
  <c r="AE41" i="1"/>
  <c r="AC41" i="1"/>
  <c r="AA41" i="1"/>
  <c r="BF40" i="1"/>
  <c r="BD40" i="1"/>
  <c r="BB40" i="1"/>
  <c r="AZ40" i="1"/>
  <c r="AX40" i="1"/>
  <c r="AV40" i="1"/>
  <c r="AT40" i="1"/>
  <c r="AR40" i="1"/>
  <c r="AO40" i="1"/>
  <c r="AM40" i="1"/>
  <c r="AK40" i="1"/>
  <c r="AI40" i="1"/>
  <c r="AG40" i="1"/>
  <c r="AE40" i="1"/>
  <c r="AC40" i="1"/>
  <c r="AA40" i="1"/>
  <c r="BF39" i="1"/>
  <c r="BD39" i="1"/>
  <c r="BB39" i="1"/>
  <c r="AZ39" i="1"/>
  <c r="AX39" i="1"/>
  <c r="AV39" i="1"/>
  <c r="AT39" i="1"/>
  <c r="AR39" i="1"/>
  <c r="AO39" i="1"/>
  <c r="AM39" i="1"/>
  <c r="AK39" i="1"/>
  <c r="AI39" i="1"/>
  <c r="AG39" i="1"/>
  <c r="AE39" i="1"/>
  <c r="AC39" i="1"/>
  <c r="AA39" i="1"/>
  <c r="BF38" i="1"/>
  <c r="BD38" i="1"/>
  <c r="BB38" i="1"/>
  <c r="AZ38" i="1"/>
  <c r="AX38" i="1"/>
  <c r="AV38" i="1"/>
  <c r="AT38" i="1"/>
  <c r="AR38" i="1"/>
  <c r="AO38" i="1"/>
  <c r="AM38" i="1"/>
  <c r="AK38" i="1"/>
  <c r="AI38" i="1"/>
  <c r="AG38" i="1"/>
  <c r="AE38" i="1"/>
  <c r="AC38" i="1"/>
  <c r="AA38" i="1"/>
  <c r="BF37" i="1"/>
  <c r="BD37" i="1"/>
  <c r="BB37" i="1"/>
  <c r="AZ37" i="1"/>
  <c r="AX37" i="1"/>
  <c r="AV37" i="1"/>
  <c r="AT37" i="1"/>
  <c r="AR37" i="1"/>
  <c r="AO37" i="1"/>
  <c r="AM37" i="1"/>
  <c r="AK37" i="1"/>
  <c r="AI37" i="1"/>
  <c r="AG37" i="1"/>
  <c r="AE37" i="1"/>
  <c r="AC37" i="1"/>
  <c r="AA37" i="1"/>
  <c r="BF36" i="1"/>
  <c r="BD36" i="1"/>
  <c r="BB36" i="1"/>
  <c r="AZ36" i="1"/>
  <c r="AX36" i="1"/>
  <c r="AV36" i="1"/>
  <c r="AT36" i="1"/>
  <c r="AR36" i="1"/>
  <c r="AO36" i="1"/>
  <c r="AM36" i="1"/>
  <c r="AK36" i="1"/>
  <c r="AI36" i="1"/>
  <c r="AG36" i="1"/>
  <c r="AE36" i="1"/>
  <c r="AC36" i="1"/>
  <c r="AA36" i="1"/>
  <c r="BF35" i="1"/>
  <c r="BD35" i="1"/>
  <c r="BB35" i="1"/>
  <c r="AZ35" i="1"/>
  <c r="AX35" i="1"/>
  <c r="AV35" i="1"/>
  <c r="AT35" i="1"/>
  <c r="AR35" i="1"/>
  <c r="AO35" i="1"/>
  <c r="AM35" i="1"/>
  <c r="AK35" i="1"/>
  <c r="AI35" i="1"/>
  <c r="AG35" i="1"/>
  <c r="AE35" i="1"/>
  <c r="AC35" i="1"/>
  <c r="AA35" i="1"/>
  <c r="BF34" i="1"/>
  <c r="BD34" i="1"/>
  <c r="BB34" i="1"/>
  <c r="AZ34" i="1"/>
  <c r="AX34" i="1"/>
  <c r="AV34" i="1"/>
  <c r="AT34" i="1"/>
  <c r="AR34" i="1"/>
  <c r="AO34" i="1"/>
  <c r="AM34" i="1"/>
  <c r="AK34" i="1"/>
  <c r="AI34" i="1"/>
  <c r="AG34" i="1"/>
  <c r="AE34" i="1"/>
  <c r="AC34" i="1"/>
  <c r="AA34" i="1"/>
  <c r="BF33" i="1"/>
  <c r="BD33" i="1"/>
  <c r="BB33" i="1"/>
  <c r="AZ33" i="1"/>
  <c r="AX33" i="1"/>
  <c r="AV33" i="1"/>
  <c r="AT33" i="1"/>
  <c r="AR33" i="1"/>
  <c r="AO33" i="1"/>
  <c r="AM33" i="1"/>
  <c r="AK33" i="1"/>
  <c r="AI33" i="1"/>
  <c r="AG33" i="1"/>
  <c r="AE33" i="1"/>
  <c r="AC33" i="1"/>
  <c r="AA33" i="1"/>
  <c r="BF32" i="1"/>
  <c r="BD32" i="1"/>
  <c r="BB32" i="1"/>
  <c r="AZ32" i="1"/>
  <c r="AX32" i="1"/>
  <c r="AV32" i="1"/>
  <c r="AT32" i="1"/>
  <c r="AR32" i="1"/>
  <c r="AO32" i="1"/>
  <c r="AM32" i="1"/>
  <c r="AK32" i="1"/>
  <c r="AI32" i="1"/>
  <c r="AG32" i="1"/>
  <c r="AE32" i="1"/>
  <c r="AC32" i="1"/>
  <c r="AA32" i="1"/>
  <c r="BF31" i="1"/>
  <c r="BD31" i="1"/>
  <c r="BB31" i="1"/>
  <c r="AZ31" i="1"/>
  <c r="AX31" i="1"/>
  <c r="AV31" i="1"/>
  <c r="AT31" i="1"/>
  <c r="AR31" i="1"/>
  <c r="AO31" i="1"/>
  <c r="AM31" i="1"/>
  <c r="AK31" i="1"/>
  <c r="AI31" i="1"/>
  <c r="AG31" i="1"/>
  <c r="AE31" i="1"/>
  <c r="AC31" i="1"/>
  <c r="AA31" i="1"/>
  <c r="BF30" i="1"/>
  <c r="BD30" i="1"/>
  <c r="BB30" i="1"/>
  <c r="AZ30" i="1"/>
  <c r="AX30" i="1"/>
  <c r="AV30" i="1"/>
  <c r="AT30" i="1"/>
  <c r="AR30" i="1"/>
  <c r="AO30" i="1"/>
  <c r="AM30" i="1"/>
  <c r="AK30" i="1"/>
  <c r="AI30" i="1"/>
  <c r="AG30" i="1"/>
  <c r="AE30" i="1"/>
  <c r="AC30" i="1"/>
  <c r="AA30" i="1"/>
  <c r="BF29" i="1"/>
  <c r="BD29" i="1"/>
  <c r="BB29" i="1"/>
  <c r="AZ29" i="1"/>
  <c r="AX29" i="1"/>
  <c r="AV29" i="1"/>
  <c r="AT29" i="1"/>
  <c r="AR29" i="1"/>
  <c r="AO29" i="1"/>
  <c r="AM29" i="1"/>
  <c r="AK29" i="1"/>
  <c r="AI29" i="1"/>
  <c r="AG29" i="1"/>
  <c r="AE29" i="1"/>
  <c r="AC29" i="1"/>
  <c r="AA29" i="1"/>
  <c r="BF28" i="1"/>
  <c r="BD28" i="1"/>
  <c r="BB28" i="1"/>
  <c r="AZ28" i="1"/>
  <c r="AX28" i="1"/>
  <c r="AV28" i="1"/>
  <c r="AT28" i="1"/>
  <c r="AR28" i="1"/>
  <c r="AO28" i="1"/>
  <c r="AM28" i="1"/>
  <c r="AK28" i="1"/>
  <c r="AI28" i="1"/>
  <c r="AG28" i="1"/>
  <c r="AE28" i="1"/>
  <c r="AC28" i="1"/>
  <c r="AA28" i="1"/>
  <c r="BF27" i="1"/>
  <c r="BD27" i="1"/>
  <c r="BB27" i="1"/>
  <c r="AZ27" i="1"/>
  <c r="AX27" i="1"/>
  <c r="AV27" i="1"/>
  <c r="AT27" i="1"/>
  <c r="AR27" i="1"/>
  <c r="AO27" i="1"/>
  <c r="AM27" i="1"/>
  <c r="AK27" i="1"/>
  <c r="AI27" i="1"/>
  <c r="AG27" i="1"/>
  <c r="AE27" i="1"/>
  <c r="AC27" i="1"/>
  <c r="AA27" i="1"/>
  <c r="BF26" i="1"/>
  <c r="BD26" i="1"/>
  <c r="BB26" i="1"/>
  <c r="AZ26" i="1"/>
  <c r="AX26" i="1"/>
  <c r="AV26" i="1"/>
  <c r="AT26" i="1"/>
  <c r="AR26" i="1"/>
  <c r="AO26" i="1"/>
  <c r="AM26" i="1"/>
  <c r="AK26" i="1"/>
  <c r="AI26" i="1"/>
  <c r="AG26" i="1"/>
  <c r="AE26" i="1"/>
  <c r="AC26" i="1"/>
  <c r="AA26" i="1"/>
  <c r="BF25" i="1"/>
  <c r="BD25" i="1"/>
  <c r="BB25" i="1"/>
  <c r="AZ25" i="1"/>
  <c r="AX25" i="1"/>
  <c r="AV25" i="1"/>
  <c r="AT25" i="1"/>
  <c r="AR25" i="1"/>
  <c r="AO25" i="1"/>
  <c r="AM25" i="1"/>
  <c r="AK25" i="1"/>
  <c r="AI25" i="1"/>
  <c r="AG25" i="1"/>
  <c r="AE25" i="1"/>
  <c r="AC25" i="1"/>
  <c r="AA25" i="1"/>
  <c r="BF24" i="1"/>
  <c r="BD24" i="1"/>
  <c r="BB24" i="1"/>
  <c r="AZ24" i="1"/>
  <c r="AX24" i="1"/>
  <c r="AV24" i="1"/>
  <c r="AT24" i="1"/>
  <c r="AR24" i="1"/>
  <c r="AO24" i="1"/>
  <c r="AM24" i="1"/>
  <c r="AK24" i="1"/>
  <c r="AI24" i="1"/>
  <c r="AG24" i="1"/>
  <c r="AE24" i="1"/>
  <c r="AC24" i="1"/>
  <c r="AA24" i="1"/>
  <c r="BF23" i="1"/>
  <c r="BD23" i="1"/>
  <c r="BB23" i="1"/>
  <c r="AZ23" i="1"/>
  <c r="AX23" i="1"/>
  <c r="AV23" i="1"/>
  <c r="AT23" i="1"/>
  <c r="AR23" i="1"/>
  <c r="AO23" i="1"/>
  <c r="AM23" i="1"/>
  <c r="AK23" i="1"/>
  <c r="AI23" i="1"/>
  <c r="AG23" i="1"/>
  <c r="AE23" i="1"/>
  <c r="AC23" i="1"/>
  <c r="AA23" i="1"/>
  <c r="BF22" i="1"/>
  <c r="BD22" i="1"/>
  <c r="BB22" i="1"/>
  <c r="AZ22" i="1"/>
  <c r="AX22" i="1"/>
  <c r="AV22" i="1"/>
  <c r="AT22" i="1"/>
  <c r="AR22" i="1"/>
  <c r="AO22" i="1"/>
  <c r="AM22" i="1"/>
  <c r="AK22" i="1"/>
  <c r="AI22" i="1"/>
  <c r="AG22" i="1"/>
  <c r="AE22" i="1"/>
  <c r="AC22" i="1"/>
  <c r="AA22" i="1"/>
  <c r="BF21" i="1"/>
  <c r="BD21" i="1"/>
  <c r="BB21" i="1"/>
  <c r="AZ21" i="1"/>
  <c r="AX21" i="1"/>
  <c r="AV21" i="1"/>
  <c r="AT21" i="1"/>
  <c r="AR21" i="1"/>
  <c r="AO21" i="1"/>
  <c r="AM21" i="1"/>
  <c r="AK21" i="1"/>
  <c r="AI21" i="1"/>
  <c r="AG21" i="1"/>
  <c r="AE21" i="1"/>
  <c r="AC21" i="1"/>
  <c r="AA21" i="1"/>
  <c r="BF20" i="1"/>
  <c r="BD20" i="1"/>
  <c r="BB20" i="1"/>
  <c r="AZ20" i="1"/>
  <c r="AX20" i="1"/>
  <c r="AV20" i="1"/>
  <c r="AT20" i="1"/>
  <c r="AR20" i="1"/>
  <c r="AO20" i="1"/>
  <c r="AM20" i="1"/>
  <c r="AK20" i="1"/>
  <c r="AI20" i="1"/>
  <c r="AG20" i="1"/>
  <c r="AE20" i="1"/>
  <c r="AC20" i="1"/>
  <c r="AA20" i="1"/>
  <c r="BF19" i="1"/>
  <c r="BD19" i="1"/>
  <c r="BB19" i="1"/>
  <c r="AZ19" i="1"/>
  <c r="AX19" i="1"/>
  <c r="AV19" i="1"/>
  <c r="AT19" i="1"/>
  <c r="AR19" i="1"/>
  <c r="AO19" i="1"/>
  <c r="AM19" i="1"/>
  <c r="AK19" i="1"/>
  <c r="AI19" i="1"/>
  <c r="AG19" i="1"/>
  <c r="AE19" i="1"/>
  <c r="AC19" i="1"/>
  <c r="AA19" i="1"/>
  <c r="BF18" i="1"/>
  <c r="BD18" i="1"/>
  <c r="BB18" i="1"/>
  <c r="AZ18" i="1"/>
  <c r="AX18" i="1"/>
  <c r="AV18" i="1"/>
  <c r="AT18" i="1"/>
  <c r="AR18" i="1"/>
  <c r="AO18" i="1"/>
  <c r="AM18" i="1"/>
  <c r="AK18" i="1"/>
  <c r="AI18" i="1"/>
  <c r="AG18" i="1"/>
  <c r="AE18" i="1"/>
  <c r="AC18" i="1"/>
  <c r="AA18" i="1"/>
  <c r="BF17" i="1"/>
  <c r="BD17" i="1"/>
  <c r="BB17" i="1"/>
  <c r="AZ17" i="1"/>
  <c r="AX17" i="1"/>
  <c r="AV17" i="1"/>
  <c r="AT17" i="1"/>
  <c r="AR17" i="1"/>
  <c r="AO17" i="1"/>
  <c r="AM17" i="1"/>
  <c r="AK17" i="1"/>
  <c r="AI17" i="1"/>
  <c r="AG17" i="1"/>
  <c r="AE17" i="1"/>
  <c r="AC17" i="1"/>
  <c r="AA17" i="1"/>
  <c r="BF16" i="1"/>
  <c r="BD16" i="1"/>
  <c r="BB16" i="1"/>
  <c r="AZ16" i="1"/>
  <c r="AX16" i="1"/>
  <c r="AV16" i="1"/>
  <c r="AT16" i="1"/>
  <c r="AR16" i="1"/>
  <c r="AO16" i="1"/>
  <c r="AM16" i="1"/>
  <c r="AK16" i="1"/>
  <c r="AI16" i="1"/>
  <c r="AG16" i="1"/>
  <c r="AE16" i="1"/>
  <c r="AC16" i="1"/>
  <c r="AA16" i="1"/>
  <c r="BF15" i="1"/>
  <c r="BD15" i="1"/>
  <c r="BB15" i="1"/>
  <c r="AZ15" i="1"/>
  <c r="AX15" i="1"/>
  <c r="AV15" i="1"/>
  <c r="AT15" i="1"/>
  <c r="AR15" i="1"/>
  <c r="AO15" i="1"/>
  <c r="AM15" i="1"/>
  <c r="AK15" i="1"/>
  <c r="AI15" i="1"/>
  <c r="AG15" i="1"/>
  <c r="AE15" i="1"/>
  <c r="AC15" i="1"/>
  <c r="AA15" i="1"/>
  <c r="BF14" i="1"/>
  <c r="BD14" i="1"/>
  <c r="BB14" i="1"/>
  <c r="AZ14" i="1"/>
  <c r="AX14" i="1"/>
  <c r="AV14" i="1"/>
  <c r="AT14" i="1"/>
  <c r="AR14" i="1"/>
  <c r="AO14" i="1"/>
  <c r="AM14" i="1"/>
  <c r="AK14" i="1"/>
  <c r="AI14" i="1"/>
  <c r="AG14" i="1"/>
  <c r="AE14" i="1"/>
  <c r="AC14" i="1"/>
  <c r="AA14" i="1"/>
  <c r="BF13" i="1"/>
  <c r="BD13" i="1"/>
  <c r="BB13" i="1"/>
  <c r="AZ13" i="1"/>
  <c r="AX13" i="1"/>
  <c r="AV13" i="1"/>
  <c r="AT13" i="1"/>
  <c r="AR13" i="1"/>
  <c r="AO13" i="1"/>
  <c r="AM13" i="1"/>
  <c r="AK13" i="1"/>
  <c r="AI13" i="1"/>
  <c r="AG13" i="1"/>
  <c r="AE13" i="1"/>
  <c r="AC13" i="1"/>
  <c r="AA13" i="1"/>
  <c r="BF12" i="1"/>
  <c r="BD12" i="1"/>
  <c r="BB12" i="1"/>
  <c r="AZ12" i="1"/>
  <c r="AX12" i="1"/>
  <c r="AV12" i="1"/>
  <c r="AT12" i="1"/>
  <c r="AR12" i="1"/>
  <c r="AO12" i="1"/>
  <c r="AM12" i="1"/>
  <c r="AK12" i="1"/>
  <c r="AI12" i="1"/>
  <c r="AG12" i="1"/>
  <c r="AE12" i="1"/>
  <c r="AC12" i="1"/>
  <c r="AA12" i="1"/>
  <c r="BF11" i="1"/>
  <c r="BD11" i="1"/>
  <c r="BB11" i="1"/>
  <c r="AZ11" i="1"/>
  <c r="AX11" i="1"/>
  <c r="AV11" i="1"/>
  <c r="AT11" i="1"/>
  <c r="AR11" i="1"/>
  <c r="AO11" i="1"/>
  <c r="AM11" i="1"/>
  <c r="AK11" i="1"/>
  <c r="AI11" i="1"/>
  <c r="AG11" i="1"/>
  <c r="AE11" i="1"/>
  <c r="AC11" i="1"/>
  <c r="AA11" i="1"/>
  <c r="BF10" i="1"/>
  <c r="BD10" i="1"/>
  <c r="BB10" i="1"/>
  <c r="AZ10" i="1"/>
  <c r="AX10" i="1"/>
  <c r="AV10" i="1"/>
  <c r="AT10" i="1"/>
  <c r="AR10" i="1"/>
  <c r="AO10" i="1"/>
  <c r="AM10" i="1"/>
  <c r="AK10" i="1"/>
  <c r="AI10" i="1"/>
  <c r="AG10" i="1"/>
  <c r="AE10" i="1"/>
  <c r="AC10" i="1"/>
  <c r="AA10" i="1"/>
  <c r="BF9" i="1"/>
  <c r="BD9" i="1"/>
  <c r="BB9" i="1"/>
  <c r="AZ9" i="1"/>
  <c r="AX9" i="1"/>
  <c r="AV9" i="1"/>
  <c r="AT9" i="1"/>
  <c r="AR9" i="1"/>
  <c r="AO9" i="1"/>
  <c r="AM9" i="1"/>
  <c r="AK9" i="1"/>
  <c r="AI9" i="1"/>
  <c r="AG9" i="1"/>
  <c r="AE9" i="1"/>
  <c r="AC9" i="1"/>
  <c r="AA9" i="1"/>
  <c r="BF8" i="1"/>
  <c r="BD8" i="1"/>
  <c r="BB8" i="1"/>
  <c r="AZ8" i="1"/>
  <c r="AX8" i="1"/>
  <c r="AV8" i="1"/>
  <c r="AT8" i="1"/>
  <c r="AR8" i="1"/>
  <c r="AO8" i="1"/>
  <c r="AM8" i="1"/>
  <c r="AK8" i="1"/>
  <c r="AI8" i="1"/>
  <c r="AG8" i="1"/>
  <c r="AE8" i="1"/>
  <c r="AC8" i="1"/>
  <c r="AA8" i="1"/>
  <c r="BF7" i="1"/>
  <c r="BD7" i="1"/>
  <c r="BB7" i="1"/>
  <c r="AZ7" i="1"/>
  <c r="AX7" i="1"/>
  <c r="AV7" i="1"/>
  <c r="AT7" i="1"/>
  <c r="AR7" i="1"/>
  <c r="AO7" i="1"/>
  <c r="AM7" i="1"/>
  <c r="AK7" i="1"/>
  <c r="AI7" i="1"/>
  <c r="AG7" i="1"/>
  <c r="AE7" i="1"/>
  <c r="AC7" i="1"/>
  <c r="AA7" i="1"/>
  <c r="BF6" i="1"/>
  <c r="BD6" i="1"/>
  <c r="BB6" i="1"/>
  <c r="AZ6" i="1"/>
  <c r="AX6" i="1"/>
  <c r="AV6" i="1"/>
  <c r="AT6" i="1"/>
  <c r="AR6" i="1"/>
  <c r="AO6" i="1"/>
  <c r="AM6" i="1"/>
  <c r="AK6" i="1"/>
  <c r="AI6" i="1"/>
  <c r="AG6" i="1"/>
  <c r="AE6" i="1"/>
  <c r="AC6" i="1"/>
  <c r="AA6" i="1"/>
  <c r="BF5" i="1"/>
  <c r="BD5" i="1"/>
  <c r="BB5" i="1"/>
  <c r="AZ5" i="1"/>
  <c r="AX5" i="1"/>
  <c r="AV5" i="1"/>
  <c r="AT5" i="1"/>
  <c r="AR5" i="1"/>
  <c r="AO5" i="1"/>
  <c r="AM5" i="1"/>
  <c r="AK5" i="1"/>
  <c r="AI5" i="1"/>
  <c r="AG5" i="1"/>
  <c r="AE5" i="1"/>
  <c r="AC5" i="1"/>
  <c r="AA5" i="1"/>
  <c r="BF4" i="1"/>
  <c r="BD4" i="1"/>
  <c r="BB4" i="1"/>
  <c r="AZ4" i="1"/>
  <c r="AX4" i="1"/>
  <c r="AV4" i="1"/>
  <c r="AT4" i="1"/>
  <c r="AR4" i="1"/>
  <c r="AO4" i="1"/>
  <c r="AM4" i="1"/>
  <c r="AK4" i="1"/>
  <c r="AI4" i="1"/>
  <c r="AG4" i="1"/>
  <c r="AE4" i="1"/>
  <c r="AC4" i="1"/>
  <c r="AA4" i="1"/>
  <c r="BF3" i="1"/>
  <c r="BD3" i="1"/>
  <c r="BB3" i="1"/>
  <c r="AZ3" i="1"/>
  <c r="AX3" i="1"/>
  <c r="AV3" i="1"/>
  <c r="AT3" i="1"/>
  <c r="AR3" i="1"/>
  <c r="AO3" i="1"/>
  <c r="AM3" i="1"/>
  <c r="AK3" i="1"/>
  <c r="AI3" i="1"/>
  <c r="AG3" i="1"/>
  <c r="AE3" i="1"/>
  <c r="AC3" i="1"/>
  <c r="AA3" i="1"/>
  <c r="BF2" i="1"/>
  <c r="BD2" i="1"/>
  <c r="BB2" i="1"/>
  <c r="AZ2" i="1"/>
  <c r="AX2" i="1"/>
  <c r="AV2" i="1"/>
  <c r="AT2" i="1"/>
  <c r="AO2" i="1"/>
  <c r="AM2" i="1"/>
  <c r="AK2" i="1"/>
  <c r="AI2" i="1"/>
  <c r="AG2" i="1"/>
  <c r="AE2" i="1"/>
  <c r="AC2" i="1"/>
  <c r="AA2" i="1"/>
</calcChain>
</file>

<file path=xl/sharedStrings.xml><?xml version="1.0" encoding="utf-8"?>
<sst xmlns="http://schemas.openxmlformats.org/spreadsheetml/2006/main" count="762" uniqueCount="381">
  <si>
    <t>start</t>
  </si>
  <si>
    <t>end</t>
  </si>
  <si>
    <t>1. Ward number.</t>
  </si>
  <si>
    <t>Ward Name</t>
  </si>
  <si>
    <t>2.Name of the School</t>
  </si>
  <si>
    <t>3.Geolocation of the School</t>
  </si>
  <si>
    <t>_3.Geolocation of the School_latitude</t>
  </si>
  <si>
    <t>_3.Geolocation of the School_longitude</t>
  </si>
  <si>
    <t>_3.Geolocation of the School_altitude</t>
  </si>
  <si>
    <t>_3.Geolocation of the School_precision</t>
  </si>
  <si>
    <t>4.Type of school board.</t>
  </si>
  <si>
    <t>5. Type of School</t>
  </si>
  <si>
    <t>6. What type of school?</t>
  </si>
  <si>
    <t>7. Number of Male students</t>
  </si>
  <si>
    <t>8. Number of Female students</t>
  </si>
  <si>
    <t>9. Total Number of students</t>
  </si>
  <si>
    <t>10. Number of teachers</t>
  </si>
  <si>
    <t>11. Number of classrooms</t>
  </si>
  <si>
    <t>12. Number of smart classrooms</t>
  </si>
  <si>
    <t>13. Number of computers are provided for students</t>
  </si>
  <si>
    <t>14. Number of Washrooms/toilets</t>
  </si>
  <si>
    <t>15. Do these schools have a playground?</t>
  </si>
  <si>
    <t xml:space="preserve"> 16. Facilities in the school.</t>
  </si>
  <si>
    <t xml:space="preserve">17. Total batches (including all) </t>
  </si>
  <si>
    <t>18. What modes of transportation do students use to reach educational institutions?</t>
  </si>
  <si>
    <t>18. What modes of transportation do students use to reach educational institutions?/Bus</t>
  </si>
  <si>
    <t>18. What modes of transportation do students use to reach educational institutions?/Metro</t>
  </si>
  <si>
    <t>18. What modes of transportation do students use to reach educational institutions?/Walking</t>
  </si>
  <si>
    <t>18. What modes of transportation do students use to reach educational institutions?/Cycling</t>
  </si>
  <si>
    <t>18. What modes of transportation do students use to reach educational institutions?/Ride- hailing services(Ola, Uber, Rapido, etc.)</t>
  </si>
  <si>
    <t>18. What modes of transportation do students use to reach educational institutions?/Personal Vehicle</t>
  </si>
  <si>
    <t>18. What modes of transportation do students use to reach educational institutions?/School Bus</t>
  </si>
  <si>
    <t>18. What modes of transportation do students use to reach educational institutions?/Others</t>
  </si>
  <si>
    <t>19. What modes of transportation do teachers use to reach educational institutions?</t>
  </si>
  <si>
    <t>19. What modes of transportation do teachers use to reach educational institutions?/Bus</t>
  </si>
  <si>
    <t>19. What modes of transportation do teachers use to reach educational institutions?/Metro</t>
  </si>
  <si>
    <t>19. What modes of transportation do teachers use to reach educational institutions?/Walking</t>
  </si>
  <si>
    <t>19. What modes of transportation do teachers use to reach educational institutions?/Cycling</t>
  </si>
  <si>
    <t>19. What modes of transportation do teachers use to reach educational institutions?/Ride- hailing services(Ola, Uber, Rapido, etc.)</t>
  </si>
  <si>
    <t>19. What modes of transportation do teachers use to reach educational institutions?/Personal Vehicle</t>
  </si>
  <si>
    <t>19. What modes of transportation do teachers use to reach educational institutions?/School Bus</t>
  </si>
  <si>
    <t>19. What modes of transportation do teachers use to reach educational institutions?/Others</t>
  </si>
  <si>
    <t xml:space="preserve">20. Number of School buses </t>
  </si>
  <si>
    <t>21. Distance to the nearest public transport from the main gate (in Km)</t>
  </si>
  <si>
    <t>22. Distance of the school from the nearest next higher education center (in Km)</t>
  </si>
  <si>
    <t>Ward number.</t>
  </si>
  <si>
    <t>Type of school board.</t>
  </si>
  <si>
    <t>Till which grade is the school.</t>
  </si>
  <si>
    <t>What type of school?</t>
  </si>
  <si>
    <t>Type of School</t>
  </si>
  <si>
    <t>5.Till which grade is the school.</t>
  </si>
  <si>
    <t>How many students are enrolled in them?</t>
  </si>
  <si>
    <t>How many teachers are employed?</t>
  </si>
  <si>
    <t>How many smart classrooms are available?</t>
  </si>
  <si>
    <t>How many computers are provided for students?</t>
  </si>
  <si>
    <t>Do these schools have a playground?</t>
  </si>
  <si>
    <t xml:space="preserve"> Facilities in the school.</t>
  </si>
  <si>
    <t>Total number of classrooms available?</t>
  </si>
  <si>
    <t xml:space="preserve">Total batches (including all) </t>
  </si>
  <si>
    <t>Syllabus</t>
  </si>
  <si>
    <t xml:space="preserve">Are there separate washrooms for both genders? </t>
  </si>
  <si>
    <t>What modes of transportation do students use to reach educational institutions?</t>
  </si>
  <si>
    <t>What modes of transportation do students use to reach educational institutions?/Bus</t>
  </si>
  <si>
    <t>What modes of transportation do students use to reach educational institutions?/Metro</t>
  </si>
  <si>
    <t>What modes of transportation do students use to reach educational institutions?/Walking</t>
  </si>
  <si>
    <t>What modes of transportation do students use to reach educational institutions?/Cycling</t>
  </si>
  <si>
    <t>What modes of transportation do students use to reach educational institutions?/Ride- hailing services(Ola, Uber, Rapido, etc.)</t>
  </si>
  <si>
    <t>What modes of transportation do students use to reach educational institutions?/Personal Vehicle</t>
  </si>
  <si>
    <t>What modes of transportation do students use to reach educational institutions?/Others</t>
  </si>
  <si>
    <t>What modes of transportation do teachers use to reach educational institutions?</t>
  </si>
  <si>
    <t>What modes of transportation do teachers use to reach educational institutions?/Bus</t>
  </si>
  <si>
    <t>What modes of transportation do teachers use to reach educational institutions?/Metro</t>
  </si>
  <si>
    <t>What modes of transportation do teachers use to reach educational institutions?/Walking</t>
  </si>
  <si>
    <t>What modes of transportation do teachers use to reach educational institutions?/Cycling</t>
  </si>
  <si>
    <t>What modes of transportation do teachers use to reach educational institutions?/Ride- hailing services(Ola, Uber, Rapido, etc.)</t>
  </si>
  <si>
    <t>What modes of transportation do teachers use to reach educational institutions?/Personal Vehicle</t>
  </si>
  <si>
    <t>What modes of transportation do teachers use to reach educational institutions?/Others</t>
  </si>
  <si>
    <t xml:space="preserve">Number of School buses </t>
  </si>
  <si>
    <t>18.What modes of transportation do students use to reach educational institutions?</t>
  </si>
  <si>
    <t>18.What modes of transportation do students use to reach educational institutions?/Bus</t>
  </si>
  <si>
    <t>18.What modes of transportation do students use to reach educational institutions?/Metro</t>
  </si>
  <si>
    <t>18.What modes of transportation do students use to reach educational institutions?/Walking</t>
  </si>
  <si>
    <t>18.What modes of transportation do students use to reach educational institutions?/Cycling</t>
  </si>
  <si>
    <t>18.What modes of transportation do students use to reach educational institutions?/Ride- hailing services(Ola, Uber, Rapido, etc.)</t>
  </si>
  <si>
    <t>18.What modes of transportation do students use to reach educational institutions?/Personal Vehicle</t>
  </si>
  <si>
    <t>18.What modes of transportation do students use to reach educational institutions?/School Bus</t>
  </si>
  <si>
    <t>18.What modes of transportation do students use to reach educational institutions?/Others</t>
  </si>
  <si>
    <t>Distance to the nearest public transport from the main gate (in Km)</t>
  </si>
  <si>
    <t>19.What modes of transportation do teachers use to reach educational institutions?</t>
  </si>
  <si>
    <t>19.What modes of transportation do teachers use to reach educational institutions?/Bus</t>
  </si>
  <si>
    <t>19.What modes of transportation do teachers use to reach educational institutions?/Metro</t>
  </si>
  <si>
    <t>19.What modes of transportation do teachers use to reach educational institutions?/Walking</t>
  </si>
  <si>
    <t>19.What modes of transportation do teachers use to reach educational institutions?/Cycling</t>
  </si>
  <si>
    <t>19.What modes of transportation do teachers use to reach educational institutions?/Ride- hailing services(Ola, Uber, Rapido, etc.)</t>
  </si>
  <si>
    <t>19.What modes of transportation do teachers use to reach educational institutions?/Personal Vehicle</t>
  </si>
  <si>
    <t>19.What modes of transportation do teachers use to reach educational institutions?/School Bus</t>
  </si>
  <si>
    <t>19.What modes of transportation do teachers use to reach educational institutions?/Others</t>
  </si>
  <si>
    <t>Distance of the school from the nearest next higher education centre (in Km)</t>
  </si>
  <si>
    <t>21.Distance to the nearest public transport from the main gate (in Km)</t>
  </si>
  <si>
    <t>22.Distance of the school from the nearest next higher education center (in Km)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</si>
  <si>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</si>
  <si>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</si>
  <si>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</si>
  <si>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</si>
  <si>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</si>
  <si>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</si>
  <si>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</si>
  <si>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</si>
  <si>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</si>
  <si>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</si>
  <si>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CHAKKAMADOM</t>
  </si>
  <si>
    <t>MMOVHSS</t>
  </si>
  <si>
    <t>9.948978465999565 76.257575088265</t>
  </si>
  <si>
    <t>State</t>
  </si>
  <si>
    <t>Vocational Higher Secondary</t>
  </si>
  <si>
    <t>Aided</t>
  </si>
  <si>
    <t>Yes</t>
  </si>
  <si>
    <t>Library, computer and science labs</t>
  </si>
  <si>
    <t>Bus Walking Cycling School Bus</t>
  </si>
  <si>
    <t>Bus Walking Personal Vehicle School Bus</t>
  </si>
  <si>
    <t>192dfb5d-5cfe-4945-b6ba-fa07a6881286</t>
  </si>
  <si>
    <t>submitted_via_web</t>
  </si>
  <si>
    <t>vg4fPvWoGsgs9FB6jYDm7S</t>
  </si>
  <si>
    <t>PERUMANUR</t>
  </si>
  <si>
    <t>St. Thomas Girls High School, Peurmanoor</t>
  </si>
  <si>
    <t>9.947276 76.293313 0 0</t>
  </si>
  <si>
    <t>High School - 8th to 10th Grade</t>
  </si>
  <si>
    <t>Football ground, Basketball ground, Hockey, Yoga, Dance, Karate, Kungfu, Spoken english, Music, Abacus, Sports training</t>
  </si>
  <si>
    <t>Bus Walking Cycling Personal Vehicle School Bus</t>
  </si>
  <si>
    <t>Bus Walking Personal Vehicle</t>
  </si>
  <si>
    <t>d88459cd-f5dd-49fe-a718-d226c966f9a1</t>
  </si>
  <si>
    <t>THATTAZHAM</t>
  </si>
  <si>
    <t>Don Bosco Senior Secondary School</t>
  </si>
  <si>
    <t>10.013968 76.27534 9 12</t>
  </si>
  <si>
    <t>ICSE</t>
  </si>
  <si>
    <t>Higher Secondary - Upto 12th Grade</t>
  </si>
  <si>
    <t>Private</t>
  </si>
  <si>
    <t>2 Computer labs, swimming pool, basketball, volleyball, science labs, student run clubs,</t>
  </si>
  <si>
    <t>06e86675-02ec-4ed5-bf9d-2a7a54ae28e6</t>
  </si>
  <si>
    <t>vUyHCj38mnUbmp8wVajiCw</t>
  </si>
  <si>
    <t>Archbishop Attipetty Public School</t>
  </si>
  <si>
    <t>10.011234 76.273386 0 13.32</t>
  </si>
  <si>
    <t>CBSE</t>
  </si>
  <si>
    <t>High School - Upto 10th Grade</t>
  </si>
  <si>
    <t>skating, football, musical instruments(guitar, drums, piano, violin), dance, yoga</t>
  </si>
  <si>
    <t>Walking Cycling Ride- hailing services(Ola, Uber, Rapido, etc.) Personal Vehicle School Bus</t>
  </si>
  <si>
    <t>Personal Vehicle School Bus</t>
  </si>
  <si>
    <t>6c0d053b-7605-4a48-bc37-1ed37a15a2a9</t>
  </si>
  <si>
    <t>EDAPPALLY</t>
  </si>
  <si>
    <t>Government Higher Secondary School Edappally</t>
  </si>
  <si>
    <t>10.01437 76.29988 0 0</t>
  </si>
  <si>
    <t xml:space="preserve">Government </t>
  </si>
  <si>
    <t>Labs, Weather Station, Tinkering Lab, Kiosk for Food</t>
  </si>
  <si>
    <t>Bus Metro Personal Vehicle</t>
  </si>
  <si>
    <t>7d989fb2-5ead-4122-be64-32e1968a6943</t>
  </si>
  <si>
    <t>St. Georges Government E.M. Lower Primary School</t>
  </si>
  <si>
    <t>10.022466 76.305913 0 0</t>
  </si>
  <si>
    <t xml:space="preserve">Primary - Upto 4th Grade </t>
  </si>
  <si>
    <t>Computer Lab, Library</t>
  </si>
  <si>
    <t>Personal Vehicle Others</t>
  </si>
  <si>
    <t>aa9abc61-cbe2-4163-95ec-9147c3f834c0</t>
  </si>
  <si>
    <t>Government Upper Primary School</t>
  </si>
  <si>
    <t>10.017718 76.301704 0 0</t>
  </si>
  <si>
    <t>Upper Primary - Upto 7th Grade</t>
  </si>
  <si>
    <t>Computer lab, Library</t>
  </si>
  <si>
    <t>Personal Vehicle</t>
  </si>
  <si>
    <t>Bus Metro</t>
  </si>
  <si>
    <t>33b3ccfc-b05d-4400-ae5a-35d973a10e09</t>
  </si>
  <si>
    <t>PADIVATTAM</t>
  </si>
  <si>
    <t>Government Lower Primary School, Padivattom</t>
  </si>
  <si>
    <t>10.010341 76.313617 0 0</t>
  </si>
  <si>
    <t>Bus Personal Vehicle</t>
  </si>
  <si>
    <t>21318ca8-9176-4521-900f-2d55f670361a</t>
  </si>
  <si>
    <t>THEVARA</t>
  </si>
  <si>
    <t>Sacred Heart, High School</t>
  </si>
  <si>
    <t>9.938388 76.297319 0 0</t>
  </si>
  <si>
    <t>Computer lab, library, Science lab, Badminton court, Tennis court, Football court, Basketball court, Dance classes, Yoga Classes.</t>
  </si>
  <si>
    <t>Ride- hailing services(Ola, Uber, Rapido, etc.) Personal Vehicle</t>
  </si>
  <si>
    <t>35334f75-a78e-446d-9944-b7fff0a0b9b9</t>
  </si>
  <si>
    <t>St. Mary's Upper Primary School</t>
  </si>
  <si>
    <t>9.93854 76.296906 0 0</t>
  </si>
  <si>
    <t>football, cricket, basketball, musical instruments, dance, yoga</t>
  </si>
  <si>
    <t>Walking Cycling School Bus</t>
  </si>
  <si>
    <t>Personal Vehicle School Bus Others</t>
  </si>
  <si>
    <t>af67108e-c66e-4a45-8d60-34ef514946f4</t>
  </si>
  <si>
    <t>SH CMI Public School</t>
  </si>
  <si>
    <t>9.93814779721334 76.2979127771474 0 0</t>
  </si>
  <si>
    <t>Robotics, Yoga, Instruments, Students club, Swimming, Cricket, Football, Basketball</t>
  </si>
  <si>
    <t>f7fc9cba-de64-4ea8-a99a-95a93b8a1f58</t>
  </si>
  <si>
    <t>St. Mary's Nursery and Primary School</t>
  </si>
  <si>
    <t>9.939891 76.296166 0 0</t>
  </si>
  <si>
    <t>Kinder Garden</t>
  </si>
  <si>
    <t>Bus Walking School Bus</t>
  </si>
  <si>
    <t>523fa22e-2e19-4f52-8e84-a7c9e9c78e6a</t>
  </si>
  <si>
    <t>Don Bosco, Thattazham, LP School, Vaduthala</t>
  </si>
  <si>
    <t>10.0138 76.2748 0 0</t>
  </si>
  <si>
    <t>computer classes, yoga, dance, instruments, spoken English, Track&amp;Field</t>
  </si>
  <si>
    <t>Walking Cycling Personal Vehicle School Bus</t>
  </si>
  <si>
    <t>Bus Ride- hailing services(Ola, Uber, Rapido, etc.) Personal Vehicle</t>
  </si>
  <si>
    <t>49f0f30c-d4ea-4e47-95d8-99d7746ac03d</t>
  </si>
  <si>
    <t>GANDHI NAGAR</t>
  </si>
  <si>
    <t>Rani Matha Public school</t>
  </si>
  <si>
    <t>9.981720986679813 76.28056249563431 0 0</t>
  </si>
  <si>
    <t>Physics, Biology &amp; Chemistry Labs, Wheechair</t>
  </si>
  <si>
    <t>Bus Metro Walking Cycling Personal Vehicle School Bus Others</t>
  </si>
  <si>
    <t>Bus Metro Ride- hailing services(Ola, Uber, Rapido, etc.) Personal Vehicle</t>
  </si>
  <si>
    <t>35f22905-0fc6-4096-946d-a3b62f8eaebb</t>
  </si>
  <si>
    <t>KATHRIKADAVU</t>
  </si>
  <si>
    <t>St Joachim's High School Kaloor</t>
  </si>
  <si>
    <t>9.987029 76.294685 0 0</t>
  </si>
  <si>
    <t>Bus Cycling Personal Vehicle</t>
  </si>
  <si>
    <t>0c59ff15-df69-4acf-9000-5cf6c9ef9c08</t>
  </si>
  <si>
    <t>St. Joachim's UP School</t>
  </si>
  <si>
    <t>9.986289 76.295458 0 0</t>
  </si>
  <si>
    <t>Library, Computer lab, Science lab, Auditorium</t>
  </si>
  <si>
    <t>Bus Metro Walking Cycling Personal Vehicle School Bus</t>
  </si>
  <si>
    <t>9c63dbd7-6938-40e3-9798-ae735479567c</t>
  </si>
  <si>
    <t>PACHALAM</t>
  </si>
  <si>
    <t>Holy Family Eurasian LP School</t>
  </si>
  <si>
    <t>10.009703 76.278626 -73.9000015258789 14.807000160217285</t>
  </si>
  <si>
    <t>play area, park, toys</t>
  </si>
  <si>
    <t>Walking Personal Vehicle Others</t>
  </si>
  <si>
    <t>Walking</t>
  </si>
  <si>
    <t>47db1443-fe42-479f-9d35-bce1a7f588cd</t>
  </si>
  <si>
    <t>Holy Family Eurasian upper primary school</t>
  </si>
  <si>
    <t>10.009 76.2786 0 0</t>
  </si>
  <si>
    <t>Library, lab, Band, karate, dance, football</t>
  </si>
  <si>
    <t>Bus Walking</t>
  </si>
  <si>
    <t>524c78e9-2dba-4da8-9faf-3de47689f9f4</t>
  </si>
  <si>
    <t>Seventh day Adventist HSS</t>
  </si>
  <si>
    <t>9.98758 76.29286 0 0</t>
  </si>
  <si>
    <t>Science labs, Geography lab, games room</t>
  </si>
  <si>
    <t>Bus Walking Cycling Ride- hailing services(Ola, Uber, Rapido, etc.) Personal Vehicle School Bus</t>
  </si>
  <si>
    <t>Walking Ride- hailing services(Ola, Uber, Rapido, etc.) Personal Vehicle</t>
  </si>
  <si>
    <t>36fb182c-6969-4da2-8630-0f579bb8b1d7</t>
  </si>
  <si>
    <t>AMARAVATHY</t>
  </si>
  <si>
    <t>Edward Memorial Government Higher Secondary School</t>
  </si>
  <si>
    <t>9.950744 76.244861 17.81 54.35</t>
  </si>
  <si>
    <t>Computer Lab, Library, Science Lab</t>
  </si>
  <si>
    <t>Walking Cycling</t>
  </si>
  <si>
    <t>4bed949b-b0b7-4edd-8904-4c848d74c6ef</t>
  </si>
  <si>
    <t>Government Regional Fishery Technical Vocational Higher Secondary School</t>
  </si>
  <si>
    <t>9.928827191114848 76.30364600054268 0 0</t>
  </si>
  <si>
    <t>Football ground, Singing, dancing</t>
  </si>
  <si>
    <t>58495285-dca6-4ec9-aec9-8d2a30b368bc</t>
  </si>
  <si>
    <t>Government Regional Fisheries Technical High School, Thevara</t>
  </si>
  <si>
    <t>9.928818885039238 76.30367855305852 0 0</t>
  </si>
  <si>
    <t>Hostel, football ground</t>
  </si>
  <si>
    <t>Others</t>
  </si>
  <si>
    <t>7a1668a6-9faf-401f-8f06-4c9c6d20dc64</t>
  </si>
  <si>
    <t>Teresa Spinelli Public School</t>
  </si>
  <si>
    <t>10.006349 76.283431 -76.20000457763672 4.440999984741211</t>
  </si>
  <si>
    <t>Play Area, Dance, Ground</t>
  </si>
  <si>
    <t>59b697d0-7fa8-46e2-b29a-56411f8ed4d4</t>
  </si>
  <si>
    <t>NAZRETH</t>
  </si>
  <si>
    <t>Loretto Anglo Indian High School</t>
  </si>
  <si>
    <t>9.9385276 76.249432 0 0</t>
  </si>
  <si>
    <t>Library, Computer Lab</t>
  </si>
  <si>
    <t>Bus Cycling School Bus</t>
  </si>
  <si>
    <t>85bb7741-5e69-46aa-ac94-5538124050c5</t>
  </si>
  <si>
    <t>FORTKOCHI</t>
  </si>
  <si>
    <t>St John De Britto Anglo-Indian High School</t>
  </si>
  <si>
    <t>9.963304 76.239733 0 0</t>
  </si>
  <si>
    <t>Computer lab, Science lab, library</t>
  </si>
  <si>
    <t>63001675-b70f-4482-b2a1-5753bcb859b9</t>
  </si>
  <si>
    <t>St. Francis</t>
  </si>
  <si>
    <t>9.963606 76.241397 0 0</t>
  </si>
  <si>
    <t>Library</t>
  </si>
  <si>
    <t>Walking Others</t>
  </si>
  <si>
    <t>6ded47c2-a07c-459b-8f54-4f7580f02db2</t>
  </si>
  <si>
    <t>The Delta Study</t>
  </si>
  <si>
    <t>9.96686 76.243529 0 0</t>
  </si>
  <si>
    <t>Computer lab, library, Science lab</t>
  </si>
  <si>
    <t>fa90c778-f4da-4e06-8190-57cde0919342</t>
  </si>
  <si>
    <t>VADUTHALA WEST</t>
  </si>
  <si>
    <t>St. Peters LP School</t>
  </si>
  <si>
    <t>10.027958 76.267883 0 0</t>
  </si>
  <si>
    <t>Library, Lab</t>
  </si>
  <si>
    <t>618ebbf8-5afb-4bb5-b044-dcb1b35cbeb5</t>
  </si>
  <si>
    <t>PUTHUKKALAVATTAM</t>
  </si>
  <si>
    <t>Government Higher Secondary School</t>
  </si>
  <si>
    <t>10.0194909 76.2912686 0 0</t>
  </si>
  <si>
    <t>Library, Labs, Counselling, Resource Teacher for specially abled children</t>
  </si>
  <si>
    <t>Bus Cycling Personal Vehicle School Bus</t>
  </si>
  <si>
    <t>a46a5c5f-42cb-45b9-95f5-8d085395844b</t>
  </si>
  <si>
    <t>ELAMAKKARA NORTH</t>
  </si>
  <si>
    <t>Al Fitrah</t>
  </si>
  <si>
    <t>10.017502 76.290683 0 0</t>
  </si>
  <si>
    <t>No</t>
  </si>
  <si>
    <t>Library, Activity area</t>
  </si>
  <si>
    <t>7f4d33ec-55bb-47fd-a55d-13d2e045a497</t>
  </si>
  <si>
    <t>Asoka World School</t>
  </si>
  <si>
    <t>10.023056 76.287736 0 0</t>
  </si>
  <si>
    <t>Taekwondo, Football, Basketball, Theatre</t>
  </si>
  <si>
    <t>abc23ef3-5ec0-4f1c-8415-6da2dad06ac6</t>
  </si>
  <si>
    <t>9.572442 76.14415 0 0</t>
  </si>
  <si>
    <t>Bus</t>
  </si>
  <si>
    <t>95721be6-a5a2-4f03-87a1-60512ca1f3a6</t>
  </si>
  <si>
    <t>St. Mary's Anglo Indian Girls High School</t>
  </si>
  <si>
    <t>9.790095 76.850082 0 0</t>
  </si>
  <si>
    <t>Library, Science lab</t>
  </si>
  <si>
    <t>690d5cab-4fb5-4374-b4e2-bb6ffcc19583</t>
  </si>
  <si>
    <t>St. Mary's Lower Primary School</t>
  </si>
  <si>
    <t>9.965429 76.243702 18.5 4.273</t>
  </si>
  <si>
    <t>1 coumputer lab, 1 library</t>
  </si>
  <si>
    <t>100ae211-ac7f-4c51-92a7-bdddf014e93c</t>
  </si>
  <si>
    <t>Fathima Girls High School</t>
  </si>
  <si>
    <t>9.96513 76.244112 -77.6 4.204</t>
  </si>
  <si>
    <t>1 Science lab, 1 library</t>
  </si>
  <si>
    <t>3a0ec64c-1410-43a6-8ed3-1b39154cfdac</t>
  </si>
  <si>
    <t>KADEBHAGAM</t>
  </si>
  <si>
    <t>Dawn Public School</t>
  </si>
  <si>
    <t>9.92262 76.28181 4.34 3.54</t>
  </si>
  <si>
    <t>playground, library, science labs, language room</t>
  </si>
  <si>
    <t>School Bus</t>
  </si>
  <si>
    <t>36d17df0-8928-42c1-9aa0-f803c045ccfe</t>
  </si>
  <si>
    <t>Auxillium Scool</t>
  </si>
  <si>
    <t>9.92513 76.27603 5.9 7.32</t>
  </si>
  <si>
    <t>Library, Art Room</t>
  </si>
  <si>
    <t>475ca200-f06c-4990-88f1-f587625d33b1</t>
  </si>
  <si>
    <t>Kinder World</t>
  </si>
  <si>
    <t>9.921673 76.27426 11.24 12.13</t>
  </si>
  <si>
    <t>Classroom with toys</t>
  </si>
  <si>
    <t>bed606f5-2a92-48ad-9358-de54467dfedd</t>
  </si>
  <si>
    <t>Sanfort Pre School</t>
  </si>
  <si>
    <t>9.92201 76.27562 16.85 3.54</t>
  </si>
  <si>
    <t>Air conditioned classes</t>
  </si>
  <si>
    <t>Bus School Bus</t>
  </si>
  <si>
    <t>3fe0de19-80b2-4d12-9b01-cd0278fed465</t>
  </si>
  <si>
    <t>New Life School</t>
  </si>
  <si>
    <t>9.920685 76.273978 8.48 3.53</t>
  </si>
  <si>
    <t>toy room, play area</t>
  </si>
  <si>
    <t>5528dacb-a81c-4a9b-a1ca-63d0a87477c8</t>
  </si>
  <si>
    <t>NAMBYAPURAM</t>
  </si>
  <si>
    <t>Hidayatul Islam English Medium Public School</t>
  </si>
  <si>
    <t>9.913812 76.268801 6.16 12.12</t>
  </si>
  <si>
    <t>Play ground</t>
  </si>
  <si>
    <t>Walking Personal Vehicle</t>
  </si>
  <si>
    <t>4703a057-fc1e-4756-be4f-83c3d61f78e7</t>
  </si>
  <si>
    <t>MUNDAMVELLY</t>
  </si>
  <si>
    <t>St. Louis L.P. School</t>
  </si>
  <si>
    <t>9.923367 76.255847 8.08 3.54</t>
  </si>
  <si>
    <t>Playground</t>
  </si>
  <si>
    <t>f5691e2b-a1b5-4df1-8d94-16381fa8d7f5</t>
  </si>
  <si>
    <t>St. Louis High School, Mundamveli</t>
  </si>
  <si>
    <t>Science Labs, Computer Lab, Library</t>
  </si>
  <si>
    <t>908d5ca8-ec3c-4585-83e7-746027245ec9</t>
  </si>
  <si>
    <t>PM SHRI Kendriya Vidyalaya INS Dronacharya, Kochi</t>
  </si>
  <si>
    <t>9.929144 76.254628 8.67 3.35</t>
  </si>
  <si>
    <t>Library, Computer Lab, Science Labs</t>
  </si>
  <si>
    <t>351853b6-73c9-4014-8935-f3b84767a349</t>
  </si>
  <si>
    <t>Santa Maria Convent School</t>
  </si>
  <si>
    <t>9.933484 76.254071 14.8 3.75</t>
  </si>
  <si>
    <t>1219e984-e4ac-456b-8be0-48162e4cd019</t>
  </si>
  <si>
    <t>Madrasathul Mujahideen Oriental Vocational Higher Secondary School</t>
  </si>
  <si>
    <t>9.94913 76.257208 4 43</t>
  </si>
  <si>
    <t>Computer lab, Science Lab, Dining Hall, Library</t>
  </si>
  <si>
    <t>1e3b2ea6-50ab-4741-b215-479733d76ef6</t>
  </si>
  <si>
    <t>KARUVELIPPADY</t>
  </si>
  <si>
    <t>St Josephs High School</t>
  </si>
  <si>
    <t>9.944053 76.256528 11.85 5.18</t>
  </si>
  <si>
    <t>Computer lab, Science lab, Dining Hall, Library</t>
  </si>
  <si>
    <t>8626ddfb-caa4-4dea-8cf4-ee5a6a570c77</t>
  </si>
  <si>
    <t>THAREBHAGAM</t>
  </si>
  <si>
    <t>Amrita Institute for Differently Abled</t>
  </si>
  <si>
    <t>9.92844 76.26122 4.22 16.6</t>
  </si>
  <si>
    <t>Physiotherapy, Special Education, Yoga and Music therapy, other development skills</t>
  </si>
  <si>
    <t>fda0a8ba-28e5-4ea5-ab32-f83b1dad5d26</t>
  </si>
  <si>
    <t>start: Date and time indicating when the survey for a particular school began.</t>
  </si>
  <si>
    <t>end: Date and time indicating when the survey for the school was completed.</t>
  </si>
  <si>
    <t>Ward number: Numerical code representing the administrative ward in which the school is located.</t>
  </si>
  <si>
    <t>Ward Name: Official name of the ward corresponding to the ward number.</t>
  </si>
  <si>
    <t>Name of the School: Official name of the educational institution surveyed.</t>
  </si>
  <si>
    <t>Geolocation of the School: Raw GPS coordinate string captured during the survey.</t>
  </si>
  <si>
    <t>Geolocation_latitude: Latitude coordinate of the school location.</t>
  </si>
  <si>
    <t>Geolocation_longitude: Longitude coordinate of the school location.</t>
  </si>
  <si>
    <t>Geolocation_altitude: Altitude of the school location in meters.</t>
  </si>
  <si>
    <t>Geolocation_precision: Accuracy of the GPS reading at the time of data collection</t>
  </si>
  <si>
    <t>Type of school (Government / Aided / Private)</t>
  </si>
  <si>
    <t>Level of education offered (Primary / Upper Primary / High School / Higher Secondary)</t>
  </si>
  <si>
    <t>Availability of facilities (classrooms, toilets, drinking water, electricity,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</si>
</sst>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333375</xdr:colOff>
      <xdr:row>2</xdr:row>
      <xdr:rowOff>161925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104775</xdr:colOff>
      <xdr:row>1</xdr:row>
      <xdr:rowOff>9525</xdr:rowOff>
    </xdr:from>
    <xdr:ext cx="4724400" cy="790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987610" y="3389380"/>
          <a:ext cx="4716780" cy="78124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This document provides a detailed description of the variables contained in the  dataset and outlines the key limitations associated with the data. The dataset is school-level in nature and  have been primarily collected incorporating administrative, geospatial, and metadata variables. </a:t>
          </a:r>
          <a:endParaRPr sz="1400"/>
        </a:p>
      </xdr:txBody>
    </xdr:sp>
    <xdr:clientData fLocksWithSheet="0"/>
  </xdr:oneCellAnchor>
  <xdr:oneCellAnchor>
    <xdr:from>
      <xdr:col>11</xdr:col>
      <xdr:colOff>342900</xdr:colOff>
      <xdr:row>2</xdr:row>
      <xdr:rowOff>133350</xdr:rowOff>
    </xdr:from>
    <xdr:ext cx="190500" cy="266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000"/>
  <sheetViews>
    <sheetView tabSelected="1" topLeftCell="C1" workbookViewId="0"/>
  </sheetViews>
  <sheetFormatPr defaultColWidth="14.44140625" defaultRowHeight="15" customHeight="1" x14ac:dyDescent="0.3"/>
  <cols>
    <col min="1" max="1" width="10.6640625" customWidth="1"/>
    <col min="2" max="2" width="12.33203125" customWidth="1"/>
    <col min="3" max="4" width="17" customWidth="1"/>
    <col min="5" max="5" width="30.33203125" customWidth="1"/>
    <col min="6" max="126" width="8.6640625" customWidth="1"/>
  </cols>
  <sheetData>
    <row r="1" spans="1:1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25</v>
      </c>
      <c r="AB1" s="1" t="s">
        <v>26</v>
      </c>
      <c r="AC1" s="1" t="s">
        <v>26</v>
      </c>
      <c r="AD1" s="1" t="s">
        <v>27</v>
      </c>
      <c r="AE1" s="1" t="s">
        <v>27</v>
      </c>
      <c r="AF1" s="1" t="s">
        <v>28</v>
      </c>
      <c r="AG1" s="1" t="s">
        <v>28</v>
      </c>
      <c r="AH1" s="1" t="s">
        <v>29</v>
      </c>
      <c r="AI1" s="1" t="s">
        <v>29</v>
      </c>
      <c r="AJ1" s="1" t="s">
        <v>30</v>
      </c>
      <c r="AK1" s="1" t="s">
        <v>30</v>
      </c>
      <c r="AL1" s="1" t="s">
        <v>31</v>
      </c>
      <c r="AM1" s="1" t="s">
        <v>31</v>
      </c>
      <c r="AN1" s="1" t="s">
        <v>32</v>
      </c>
      <c r="AO1" s="1" t="s">
        <v>32</v>
      </c>
      <c r="AP1" s="1" t="s">
        <v>33</v>
      </c>
      <c r="AQ1" s="1" t="s">
        <v>34</v>
      </c>
      <c r="AR1" s="1" t="s">
        <v>34</v>
      </c>
      <c r="AS1" s="1" t="s">
        <v>35</v>
      </c>
      <c r="AT1" s="1" t="s">
        <v>35</v>
      </c>
      <c r="AU1" s="1" t="s">
        <v>36</v>
      </c>
      <c r="AV1" s="1" t="s">
        <v>36</v>
      </c>
      <c r="AW1" s="1" t="s">
        <v>37</v>
      </c>
      <c r="AX1" s="1" t="s">
        <v>37</v>
      </c>
      <c r="AY1" s="1" t="s">
        <v>38</v>
      </c>
      <c r="AZ1" s="1" t="s">
        <v>38</v>
      </c>
      <c r="BA1" s="1" t="s">
        <v>39</v>
      </c>
      <c r="BB1" s="1" t="s">
        <v>39</v>
      </c>
      <c r="BC1" s="1" t="s">
        <v>40</v>
      </c>
      <c r="BD1" s="1" t="s">
        <v>40</v>
      </c>
      <c r="BE1" s="1" t="s">
        <v>41</v>
      </c>
      <c r="BF1" s="1" t="s">
        <v>41</v>
      </c>
      <c r="BG1" s="1" t="s">
        <v>42</v>
      </c>
      <c r="BH1" s="1" t="s">
        <v>43</v>
      </c>
      <c r="BI1" s="1" t="s">
        <v>44</v>
      </c>
      <c r="BJ1" s="1" t="s">
        <v>45</v>
      </c>
      <c r="BK1" s="1" t="s">
        <v>46</v>
      </c>
      <c r="BL1" s="1" t="s">
        <v>47</v>
      </c>
      <c r="BM1" s="1" t="s">
        <v>48</v>
      </c>
      <c r="BN1" s="1" t="s">
        <v>49</v>
      </c>
      <c r="BO1" s="1" t="s">
        <v>50</v>
      </c>
      <c r="BP1" s="1" t="s">
        <v>51</v>
      </c>
      <c r="BQ1" s="1" t="s">
        <v>52</v>
      </c>
      <c r="BR1" s="1" t="s">
        <v>53</v>
      </c>
      <c r="BS1" s="1" t="s">
        <v>54</v>
      </c>
      <c r="BT1" s="1" t="s">
        <v>55</v>
      </c>
      <c r="BU1" s="1" t="s">
        <v>56</v>
      </c>
      <c r="BV1" s="1" t="s">
        <v>57</v>
      </c>
      <c r="BW1" s="1" t="s">
        <v>58</v>
      </c>
      <c r="BX1" s="1" t="s">
        <v>59</v>
      </c>
      <c r="BY1" s="1" t="s">
        <v>60</v>
      </c>
      <c r="BZ1" s="1" t="s">
        <v>61</v>
      </c>
      <c r="CA1" s="1" t="s">
        <v>62</v>
      </c>
      <c r="CB1" s="1" t="s">
        <v>63</v>
      </c>
      <c r="CC1" s="1" t="s">
        <v>64</v>
      </c>
      <c r="CD1" s="1" t="s">
        <v>65</v>
      </c>
      <c r="CE1" s="1" t="s">
        <v>66</v>
      </c>
      <c r="CF1" s="1" t="s">
        <v>67</v>
      </c>
      <c r="CG1" s="1" t="s">
        <v>68</v>
      </c>
      <c r="CH1" s="1" t="s">
        <v>69</v>
      </c>
      <c r="CI1" s="1" t="s">
        <v>70</v>
      </c>
      <c r="CJ1" s="1" t="s">
        <v>71</v>
      </c>
      <c r="CK1" s="1" t="s">
        <v>72</v>
      </c>
      <c r="CL1" s="1" t="s">
        <v>73</v>
      </c>
      <c r="CM1" s="1" t="s">
        <v>74</v>
      </c>
      <c r="CN1" s="1" t="s">
        <v>75</v>
      </c>
      <c r="CO1" s="1" t="s">
        <v>76</v>
      </c>
      <c r="CP1" s="1" t="s">
        <v>77</v>
      </c>
      <c r="CQ1" s="1" t="s">
        <v>78</v>
      </c>
      <c r="CR1" s="1" t="s">
        <v>79</v>
      </c>
      <c r="CS1" s="1" t="s">
        <v>80</v>
      </c>
      <c r="CT1" s="1" t="s">
        <v>81</v>
      </c>
      <c r="CU1" s="1" t="s">
        <v>82</v>
      </c>
      <c r="CV1" s="1" t="s">
        <v>83</v>
      </c>
      <c r="CW1" s="1" t="s">
        <v>84</v>
      </c>
      <c r="CX1" s="1" t="s">
        <v>85</v>
      </c>
      <c r="CY1" s="1" t="s">
        <v>86</v>
      </c>
      <c r="CZ1" s="1" t="s">
        <v>87</v>
      </c>
      <c r="DA1" s="1" t="s">
        <v>88</v>
      </c>
      <c r="DB1" s="1" t="s">
        <v>89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97</v>
      </c>
      <c r="DK1" s="1" t="s">
        <v>98</v>
      </c>
      <c r="DL1" s="1" t="s">
        <v>99</v>
      </c>
      <c r="DM1" s="1" t="s">
        <v>100</v>
      </c>
      <c r="DN1" s="1" t="s">
        <v>101</v>
      </c>
      <c r="DO1" s="1" t="s">
        <v>102</v>
      </c>
      <c r="DP1" s="1" t="s">
        <v>103</v>
      </c>
      <c r="DQ1" s="1" t="s">
        <v>104</v>
      </c>
      <c r="DR1" s="1" t="s">
        <v>105</v>
      </c>
      <c r="DS1" s="1" t="s">
        <v>106</v>
      </c>
      <c r="DT1" s="1" t="s">
        <v>107</v>
      </c>
      <c r="DU1" s="1" t="s">
        <v>108</v>
      </c>
      <c r="DV1" s="1" t="s">
        <v>109</v>
      </c>
    </row>
    <row r="2" spans="1:126" ht="14.25" customHeight="1" x14ac:dyDescent="0.3">
      <c r="A2" s="2">
        <v>45910.476481400467</v>
      </c>
      <c r="B2" s="2">
        <v>45910.944761134262</v>
      </c>
      <c r="C2" s="1">
        <v>9</v>
      </c>
      <c r="D2" s="1" t="s">
        <v>110</v>
      </c>
      <c r="E2" s="1" t="s">
        <v>111</v>
      </c>
      <c r="F2" s="1" t="s">
        <v>112</v>
      </c>
      <c r="G2" s="1">
        <v>9.9489784659995593</v>
      </c>
      <c r="H2" s="1">
        <v>76.257575088265</v>
      </c>
      <c r="I2" s="1">
        <v>0</v>
      </c>
      <c r="J2" s="1">
        <v>0</v>
      </c>
      <c r="K2" s="1" t="s">
        <v>113</v>
      </c>
      <c r="L2" s="1" t="s">
        <v>114</v>
      </c>
      <c r="M2" s="1" t="s">
        <v>115</v>
      </c>
      <c r="N2" s="1">
        <v>357</v>
      </c>
      <c r="O2" s="1">
        <v>118</v>
      </c>
      <c r="P2" s="1">
        <v>475</v>
      </c>
      <c r="Q2" s="1">
        <v>22</v>
      </c>
      <c r="R2" s="1">
        <v>16</v>
      </c>
      <c r="S2" s="1">
        <v>16</v>
      </c>
      <c r="T2" s="1">
        <v>25</v>
      </c>
      <c r="U2" s="1">
        <v>20</v>
      </c>
      <c r="V2" s="1" t="s">
        <v>116</v>
      </c>
      <c r="W2" s="1" t="s">
        <v>117</v>
      </c>
      <c r="X2" s="1">
        <v>16</v>
      </c>
      <c r="Y2" s="1" t="s">
        <v>118</v>
      </c>
      <c r="Z2" s="1">
        <v>0</v>
      </c>
      <c r="AA2" s="1" t="str">
        <f t="shared" ref="AA2:AA49" si="0">IF(Z2=1,"Yes","No")</f>
        <v>No</v>
      </c>
      <c r="AB2" s="1">
        <v>0</v>
      </c>
      <c r="AC2" s="1" t="str">
        <f t="shared" ref="AC2:AC49" si="1">IF(AB2=1,"Yes","No")</f>
        <v>No</v>
      </c>
      <c r="AD2" s="1">
        <v>1</v>
      </c>
      <c r="AE2" s="1" t="str">
        <f t="shared" ref="AE2:AE49" si="2">IF(AD2=1,"Yes","No")</f>
        <v>Yes</v>
      </c>
      <c r="AF2" s="1">
        <v>1</v>
      </c>
      <c r="AG2" s="1" t="str">
        <f t="shared" ref="AG2:AG49" si="3">IF(AF2=1,"Yes","No")</f>
        <v>Yes</v>
      </c>
      <c r="AH2" s="1">
        <v>0</v>
      </c>
      <c r="AI2" s="1" t="str">
        <f t="shared" ref="AI2:AI49" si="4">IF(AH2=1,"Yes","No")</f>
        <v>No</v>
      </c>
      <c r="AJ2" s="1">
        <v>0</v>
      </c>
      <c r="AK2" s="1" t="str">
        <f t="shared" ref="AK2:AK49" si="5">IF(AJ2=1,"Yes","No")</f>
        <v>No</v>
      </c>
      <c r="AL2" s="1">
        <v>1</v>
      </c>
      <c r="AM2" s="1" t="str">
        <f t="shared" ref="AM2:AM49" si="6">IF(AL2=1,"Yes","No")</f>
        <v>Yes</v>
      </c>
      <c r="AN2" s="1">
        <v>0</v>
      </c>
      <c r="AO2" s="1" t="str">
        <f t="shared" ref="AO2:AO49" si="7">IF(AN2=1,"Yes","No")</f>
        <v>No</v>
      </c>
      <c r="AP2" s="1" t="s">
        <v>119</v>
      </c>
      <c r="AQ2" s="1">
        <v>1</v>
      </c>
      <c r="AR2" s="1" t="s">
        <v>116</v>
      </c>
      <c r="AS2" s="1">
        <v>0</v>
      </c>
      <c r="AT2" s="1" t="str">
        <f t="shared" ref="AT2:AT49" si="8">IF(AS2=1,"Yes","No")</f>
        <v>No</v>
      </c>
      <c r="AU2" s="1">
        <v>1</v>
      </c>
      <c r="AV2" s="1" t="str">
        <f t="shared" ref="AV2:AV49" si="9">IF(AU2=1,"Yes","No")</f>
        <v>Yes</v>
      </c>
      <c r="AW2" s="1">
        <v>0</v>
      </c>
      <c r="AX2" s="1" t="str">
        <f t="shared" ref="AX2:AX49" si="10">IF(AW2=1,"Yes","No")</f>
        <v>No</v>
      </c>
      <c r="AY2" s="1">
        <v>0</v>
      </c>
      <c r="AZ2" s="1" t="str">
        <f t="shared" ref="AZ2:AZ49" si="11">IF(AY2=1,"Yes","No")</f>
        <v>No</v>
      </c>
      <c r="BA2" s="1">
        <v>1</v>
      </c>
      <c r="BB2" s="1" t="str">
        <f t="shared" ref="BB2:BB49" si="12">IF(BA2=1,"Yes","No")</f>
        <v>Yes</v>
      </c>
      <c r="BC2" s="1">
        <v>1</v>
      </c>
      <c r="BD2" s="1" t="str">
        <f t="shared" ref="BD2:BD49" si="13">IF(BC2=1,"Yes","No")</f>
        <v>Yes</v>
      </c>
      <c r="BE2" s="1">
        <v>0</v>
      </c>
      <c r="BF2" s="1" t="str">
        <f t="shared" ref="BF2:BF49" si="14">IF(BE2=1,"Yes","No")</f>
        <v>No</v>
      </c>
      <c r="BG2" s="1">
        <v>1</v>
      </c>
      <c r="BH2" s="1">
        <v>0.01</v>
      </c>
      <c r="BI2" s="1">
        <v>0</v>
      </c>
      <c r="DM2" s="1">
        <v>556057576</v>
      </c>
      <c r="DN2" s="1" t="s">
        <v>120</v>
      </c>
      <c r="DO2" s="2">
        <v>45910.715590277781</v>
      </c>
      <c r="DR2" s="1" t="s">
        <v>121</v>
      </c>
      <c r="DT2" s="1" t="s">
        <v>122</v>
      </c>
      <c r="DV2" s="1">
        <v>1</v>
      </c>
    </row>
    <row r="3" spans="1:126" ht="14.25" customHeight="1" x14ac:dyDescent="0.3">
      <c r="A3" s="2">
        <v>45911.392156412039</v>
      </c>
      <c r="B3" s="2">
        <v>45911.404996712961</v>
      </c>
      <c r="C3" s="1">
        <v>60</v>
      </c>
      <c r="D3" s="1" t="s">
        <v>123</v>
      </c>
      <c r="E3" s="1" t="s">
        <v>124</v>
      </c>
      <c r="F3" s="1" t="s">
        <v>125</v>
      </c>
      <c r="G3" s="1">
        <v>9.9472760000000005</v>
      </c>
      <c r="H3" s="1">
        <v>76.293312999999998</v>
      </c>
      <c r="I3" s="1">
        <v>0</v>
      </c>
      <c r="J3" s="1">
        <v>0</v>
      </c>
      <c r="K3" s="1" t="s">
        <v>113</v>
      </c>
      <c r="L3" s="1" t="s">
        <v>126</v>
      </c>
      <c r="M3" s="1" t="s">
        <v>115</v>
      </c>
      <c r="N3" s="1">
        <v>244</v>
      </c>
      <c r="O3" s="1">
        <v>1130</v>
      </c>
      <c r="P3" s="1">
        <v>1374</v>
      </c>
      <c r="Q3" s="1">
        <v>47</v>
      </c>
      <c r="R3" s="1">
        <v>32</v>
      </c>
      <c r="S3" s="1">
        <v>12</v>
      </c>
      <c r="T3" s="1">
        <v>41</v>
      </c>
      <c r="U3" s="1">
        <v>25</v>
      </c>
      <c r="V3" s="1" t="s">
        <v>116</v>
      </c>
      <c r="W3" s="1" t="s">
        <v>127</v>
      </c>
      <c r="X3" s="1">
        <v>32</v>
      </c>
      <c r="Y3" s="1" t="s">
        <v>128</v>
      </c>
      <c r="Z3" s="1">
        <v>1</v>
      </c>
      <c r="AA3" s="1" t="str">
        <f t="shared" si="0"/>
        <v>Yes</v>
      </c>
      <c r="AB3" s="1">
        <v>0</v>
      </c>
      <c r="AC3" s="1" t="str">
        <f t="shared" si="1"/>
        <v>No</v>
      </c>
      <c r="AD3" s="1">
        <v>1</v>
      </c>
      <c r="AE3" s="1" t="str">
        <f t="shared" si="2"/>
        <v>Yes</v>
      </c>
      <c r="AF3" s="1">
        <v>1</v>
      </c>
      <c r="AG3" s="1" t="str">
        <f t="shared" si="3"/>
        <v>Yes</v>
      </c>
      <c r="AH3" s="1">
        <v>0</v>
      </c>
      <c r="AI3" s="1" t="str">
        <f t="shared" si="4"/>
        <v>No</v>
      </c>
      <c r="AJ3" s="1">
        <v>1</v>
      </c>
      <c r="AK3" s="1" t="str">
        <f t="shared" si="5"/>
        <v>Yes</v>
      </c>
      <c r="AL3" s="1">
        <v>1</v>
      </c>
      <c r="AM3" s="1" t="str">
        <f t="shared" si="6"/>
        <v>Yes</v>
      </c>
      <c r="AN3" s="1">
        <v>0</v>
      </c>
      <c r="AO3" s="1" t="str">
        <f t="shared" si="7"/>
        <v>No</v>
      </c>
      <c r="AP3" s="1" t="s">
        <v>129</v>
      </c>
      <c r="AQ3" s="1">
        <v>1</v>
      </c>
      <c r="AR3" s="1" t="str">
        <f t="shared" ref="AR3:AR49" si="15">IF(AQ3=1,"Yes","No")</f>
        <v>Yes</v>
      </c>
      <c r="AS3" s="1">
        <v>0</v>
      </c>
      <c r="AT3" s="1" t="str">
        <f t="shared" si="8"/>
        <v>No</v>
      </c>
      <c r="AU3" s="1">
        <v>1</v>
      </c>
      <c r="AV3" s="1" t="str">
        <f t="shared" si="9"/>
        <v>Yes</v>
      </c>
      <c r="AW3" s="1">
        <v>0</v>
      </c>
      <c r="AX3" s="1" t="str">
        <f t="shared" si="10"/>
        <v>No</v>
      </c>
      <c r="AY3" s="1">
        <v>0</v>
      </c>
      <c r="AZ3" s="1" t="str">
        <f t="shared" si="11"/>
        <v>No</v>
      </c>
      <c r="BA3" s="1">
        <v>1</v>
      </c>
      <c r="BB3" s="1" t="str">
        <f t="shared" si="12"/>
        <v>Yes</v>
      </c>
      <c r="BC3" s="1">
        <v>0</v>
      </c>
      <c r="BD3" s="1" t="str">
        <f t="shared" si="13"/>
        <v>No</v>
      </c>
      <c r="BE3" s="1">
        <v>0</v>
      </c>
      <c r="BF3" s="1" t="str">
        <f t="shared" si="14"/>
        <v>No</v>
      </c>
      <c r="BG3" s="1">
        <v>8</v>
      </c>
      <c r="BH3" s="1">
        <v>0.1</v>
      </c>
      <c r="BI3" s="1">
        <v>1</v>
      </c>
      <c r="DM3" s="1">
        <v>556297098</v>
      </c>
      <c r="DN3" s="1" t="s">
        <v>130</v>
      </c>
      <c r="DO3" s="2">
        <v>45911.175856481481</v>
      </c>
      <c r="DR3" s="1" t="s">
        <v>121</v>
      </c>
      <c r="DT3" s="1" t="s">
        <v>122</v>
      </c>
      <c r="DV3" s="1">
        <v>4</v>
      </c>
    </row>
    <row r="4" spans="1:126" ht="14.25" customHeight="1" x14ac:dyDescent="0.3">
      <c r="A4" s="2">
        <v>45911.400281122682</v>
      </c>
      <c r="B4" s="2">
        <v>45914.386339745368</v>
      </c>
      <c r="C4" s="1">
        <v>74</v>
      </c>
      <c r="D4" s="1" t="s">
        <v>131</v>
      </c>
      <c r="E4" s="1" t="s">
        <v>132</v>
      </c>
      <c r="F4" s="1" t="s">
        <v>133</v>
      </c>
      <c r="G4" s="1">
        <v>10.013968</v>
      </c>
      <c r="H4" s="1">
        <v>76.27534</v>
      </c>
      <c r="I4" s="1">
        <v>9</v>
      </c>
      <c r="J4" s="1">
        <v>12</v>
      </c>
      <c r="K4" s="1" t="s">
        <v>134</v>
      </c>
      <c r="L4" s="1" t="s">
        <v>135</v>
      </c>
      <c r="M4" s="1" t="s">
        <v>136</v>
      </c>
      <c r="N4" s="1">
        <v>864</v>
      </c>
      <c r="O4" s="1">
        <v>656</v>
      </c>
      <c r="P4" s="1">
        <v>1520</v>
      </c>
      <c r="Q4" s="1">
        <v>79</v>
      </c>
      <c r="R4" s="1">
        <v>42</v>
      </c>
      <c r="S4" s="1">
        <v>42</v>
      </c>
      <c r="T4" s="1">
        <v>50</v>
      </c>
      <c r="U4" s="1">
        <v>12</v>
      </c>
      <c r="V4" s="1" t="s">
        <v>116</v>
      </c>
      <c r="W4" s="1" t="s">
        <v>137</v>
      </c>
      <c r="X4" s="1">
        <v>37</v>
      </c>
      <c r="Y4" s="1" t="s">
        <v>128</v>
      </c>
      <c r="Z4" s="1">
        <v>1</v>
      </c>
      <c r="AA4" s="1" t="str">
        <f t="shared" si="0"/>
        <v>Yes</v>
      </c>
      <c r="AB4" s="1">
        <v>0</v>
      </c>
      <c r="AC4" s="1" t="str">
        <f t="shared" si="1"/>
        <v>No</v>
      </c>
      <c r="AD4" s="1">
        <v>1</v>
      </c>
      <c r="AE4" s="1" t="str">
        <f t="shared" si="2"/>
        <v>Yes</v>
      </c>
      <c r="AF4" s="1">
        <v>1</v>
      </c>
      <c r="AG4" s="1" t="str">
        <f t="shared" si="3"/>
        <v>Yes</v>
      </c>
      <c r="AH4" s="1">
        <v>0</v>
      </c>
      <c r="AI4" s="1" t="str">
        <f t="shared" si="4"/>
        <v>No</v>
      </c>
      <c r="AJ4" s="1">
        <v>1</v>
      </c>
      <c r="AK4" s="1" t="str">
        <f t="shared" si="5"/>
        <v>Yes</v>
      </c>
      <c r="AL4" s="1">
        <v>1</v>
      </c>
      <c r="AM4" s="1" t="str">
        <f t="shared" si="6"/>
        <v>Yes</v>
      </c>
      <c r="AN4" s="1">
        <v>0</v>
      </c>
      <c r="AO4" s="1" t="str">
        <f t="shared" si="7"/>
        <v>No</v>
      </c>
      <c r="AP4" s="1" t="s">
        <v>129</v>
      </c>
      <c r="AQ4" s="1">
        <v>1</v>
      </c>
      <c r="AR4" s="1" t="str">
        <f t="shared" si="15"/>
        <v>Yes</v>
      </c>
      <c r="AS4" s="1">
        <v>0</v>
      </c>
      <c r="AT4" s="1" t="str">
        <f t="shared" si="8"/>
        <v>No</v>
      </c>
      <c r="AU4" s="1">
        <v>1</v>
      </c>
      <c r="AV4" s="1" t="str">
        <f t="shared" si="9"/>
        <v>Yes</v>
      </c>
      <c r="AW4" s="1">
        <v>0</v>
      </c>
      <c r="AX4" s="1" t="str">
        <f t="shared" si="10"/>
        <v>No</v>
      </c>
      <c r="AY4" s="1">
        <v>0</v>
      </c>
      <c r="AZ4" s="1" t="str">
        <f t="shared" si="11"/>
        <v>No</v>
      </c>
      <c r="BA4" s="1">
        <v>1</v>
      </c>
      <c r="BB4" s="1" t="str">
        <f t="shared" si="12"/>
        <v>Yes</v>
      </c>
      <c r="BC4" s="1">
        <v>0</v>
      </c>
      <c r="BD4" s="1" t="str">
        <f t="shared" si="13"/>
        <v>No</v>
      </c>
      <c r="BE4" s="1">
        <v>0</v>
      </c>
      <c r="BF4" s="1" t="str">
        <f t="shared" si="14"/>
        <v>No</v>
      </c>
      <c r="BG4" s="1">
        <v>9</v>
      </c>
      <c r="BH4" s="1">
        <v>0.1</v>
      </c>
      <c r="BI4" s="1">
        <v>0.1</v>
      </c>
      <c r="DM4" s="1">
        <v>558532802</v>
      </c>
      <c r="DN4" s="1" t="s">
        <v>138</v>
      </c>
      <c r="DO4" s="2">
        <v>45914.157187500001</v>
      </c>
      <c r="DR4" s="1" t="s">
        <v>121</v>
      </c>
      <c r="DT4" s="1" t="s">
        <v>139</v>
      </c>
      <c r="DV4" s="1">
        <v>5</v>
      </c>
    </row>
    <row r="5" spans="1:126" ht="14.25" customHeight="1" x14ac:dyDescent="0.3">
      <c r="A5" s="2">
        <v>45911.397949537037</v>
      </c>
      <c r="B5" s="2">
        <v>45914.391810092588</v>
      </c>
      <c r="C5" s="1">
        <v>74</v>
      </c>
      <c r="D5" s="1" t="s">
        <v>131</v>
      </c>
      <c r="E5" s="1" t="s">
        <v>140</v>
      </c>
      <c r="F5" s="1" t="s">
        <v>141</v>
      </c>
      <c r="G5" s="1">
        <v>10.011234</v>
      </c>
      <c r="H5" s="1">
        <v>76.273386000000002</v>
      </c>
      <c r="I5" s="1">
        <v>0</v>
      </c>
      <c r="J5" s="1">
        <v>13.32</v>
      </c>
      <c r="K5" s="1" t="s">
        <v>142</v>
      </c>
      <c r="L5" s="1" t="s">
        <v>143</v>
      </c>
      <c r="M5" s="1" t="s">
        <v>136</v>
      </c>
      <c r="N5" s="1">
        <v>230</v>
      </c>
      <c r="O5" s="1">
        <v>150</v>
      </c>
      <c r="P5" s="1">
        <v>380</v>
      </c>
      <c r="Q5" s="1">
        <v>22</v>
      </c>
      <c r="R5" s="1">
        <v>13</v>
      </c>
      <c r="S5" s="1">
        <v>13</v>
      </c>
      <c r="T5" s="1">
        <v>32</v>
      </c>
      <c r="U5" s="1">
        <v>40</v>
      </c>
      <c r="V5" s="1" t="s">
        <v>116</v>
      </c>
      <c r="W5" s="1" t="s">
        <v>144</v>
      </c>
      <c r="X5" s="1">
        <v>13</v>
      </c>
      <c r="Y5" s="1" t="s">
        <v>145</v>
      </c>
      <c r="Z5" s="1">
        <v>0</v>
      </c>
      <c r="AA5" s="1" t="str">
        <f t="shared" si="0"/>
        <v>No</v>
      </c>
      <c r="AB5" s="1">
        <v>0</v>
      </c>
      <c r="AC5" s="1" t="str">
        <f t="shared" si="1"/>
        <v>No</v>
      </c>
      <c r="AD5" s="1">
        <v>1</v>
      </c>
      <c r="AE5" s="1" t="str">
        <f t="shared" si="2"/>
        <v>Yes</v>
      </c>
      <c r="AF5" s="1">
        <v>1</v>
      </c>
      <c r="AG5" s="1" t="str">
        <f t="shared" si="3"/>
        <v>Yes</v>
      </c>
      <c r="AH5" s="1">
        <v>1</v>
      </c>
      <c r="AI5" s="1" t="str">
        <f t="shared" si="4"/>
        <v>Yes</v>
      </c>
      <c r="AJ5" s="1">
        <v>1</v>
      </c>
      <c r="AK5" s="1" t="str">
        <f t="shared" si="5"/>
        <v>Yes</v>
      </c>
      <c r="AL5" s="1">
        <v>1</v>
      </c>
      <c r="AM5" s="1" t="str">
        <f t="shared" si="6"/>
        <v>Yes</v>
      </c>
      <c r="AN5" s="1">
        <v>0</v>
      </c>
      <c r="AO5" s="1" t="str">
        <f t="shared" si="7"/>
        <v>No</v>
      </c>
      <c r="AP5" s="1" t="s">
        <v>146</v>
      </c>
      <c r="AQ5" s="1">
        <v>0</v>
      </c>
      <c r="AR5" s="1" t="str">
        <f t="shared" si="15"/>
        <v>No</v>
      </c>
      <c r="AS5" s="1">
        <v>0</v>
      </c>
      <c r="AT5" s="1" t="str">
        <f t="shared" si="8"/>
        <v>No</v>
      </c>
      <c r="AU5" s="1">
        <v>0</v>
      </c>
      <c r="AV5" s="1" t="str">
        <f t="shared" si="9"/>
        <v>No</v>
      </c>
      <c r="AW5" s="1">
        <v>0</v>
      </c>
      <c r="AX5" s="1" t="str">
        <f t="shared" si="10"/>
        <v>No</v>
      </c>
      <c r="AY5" s="1">
        <v>0</v>
      </c>
      <c r="AZ5" s="1" t="str">
        <f t="shared" si="11"/>
        <v>No</v>
      </c>
      <c r="BA5" s="1">
        <v>1</v>
      </c>
      <c r="BB5" s="1" t="str">
        <f t="shared" si="12"/>
        <v>Yes</v>
      </c>
      <c r="BC5" s="1">
        <v>1</v>
      </c>
      <c r="BD5" s="1" t="str">
        <f t="shared" si="13"/>
        <v>Yes</v>
      </c>
      <c r="BE5" s="1">
        <v>0</v>
      </c>
      <c r="BF5" s="1" t="str">
        <f t="shared" si="14"/>
        <v>No</v>
      </c>
      <c r="BG5" s="1">
        <v>3</v>
      </c>
      <c r="BH5" s="1">
        <v>1</v>
      </c>
      <c r="BI5" s="1">
        <v>1.3</v>
      </c>
      <c r="DM5" s="1">
        <v>558534764</v>
      </c>
      <c r="DN5" s="1" t="s">
        <v>147</v>
      </c>
      <c r="DO5" s="2">
        <v>45914.16265046296</v>
      </c>
      <c r="DR5" s="1" t="s">
        <v>121</v>
      </c>
      <c r="DT5" s="1" t="s">
        <v>139</v>
      </c>
      <c r="DV5" s="1">
        <v>6</v>
      </c>
    </row>
    <row r="6" spans="1:126" ht="14.25" customHeight="1" x14ac:dyDescent="0.3">
      <c r="A6" s="2">
        <v>45914.390128055558</v>
      </c>
      <c r="B6" s="2">
        <v>45914.394220960647</v>
      </c>
      <c r="C6" s="1">
        <v>37</v>
      </c>
      <c r="D6" s="1" t="s">
        <v>148</v>
      </c>
      <c r="E6" s="1" t="s">
        <v>149</v>
      </c>
      <c r="F6" s="1" t="s">
        <v>150</v>
      </c>
      <c r="G6" s="1">
        <v>10.01437</v>
      </c>
      <c r="H6" s="1">
        <v>76.299880000000002</v>
      </c>
      <c r="I6" s="1">
        <v>0</v>
      </c>
      <c r="J6" s="1">
        <v>0</v>
      </c>
      <c r="K6" s="1" t="s">
        <v>113</v>
      </c>
      <c r="L6" s="1" t="s">
        <v>135</v>
      </c>
      <c r="M6" s="1" t="s">
        <v>151</v>
      </c>
      <c r="N6" s="1">
        <v>370</v>
      </c>
      <c r="O6" s="1">
        <v>350</v>
      </c>
      <c r="P6" s="1">
        <v>720</v>
      </c>
      <c r="Q6" s="1">
        <v>30</v>
      </c>
      <c r="R6" s="1">
        <v>12</v>
      </c>
      <c r="S6" s="1">
        <v>12</v>
      </c>
      <c r="T6" s="1">
        <v>35</v>
      </c>
      <c r="U6" s="1">
        <v>39</v>
      </c>
      <c r="V6" s="1" t="s">
        <v>116</v>
      </c>
      <c r="W6" s="1" t="s">
        <v>152</v>
      </c>
      <c r="X6" s="1">
        <v>6</v>
      </c>
      <c r="Y6" s="1" t="s">
        <v>153</v>
      </c>
      <c r="Z6" s="1">
        <v>1</v>
      </c>
      <c r="AA6" s="1" t="str">
        <f t="shared" si="0"/>
        <v>Yes</v>
      </c>
      <c r="AB6" s="1">
        <v>1</v>
      </c>
      <c r="AC6" s="1" t="str">
        <f t="shared" si="1"/>
        <v>Yes</v>
      </c>
      <c r="AD6" s="1">
        <v>0</v>
      </c>
      <c r="AE6" s="1" t="str">
        <f t="shared" si="2"/>
        <v>No</v>
      </c>
      <c r="AF6" s="1">
        <v>0</v>
      </c>
      <c r="AG6" s="1" t="str">
        <f t="shared" si="3"/>
        <v>No</v>
      </c>
      <c r="AH6" s="1">
        <v>0</v>
      </c>
      <c r="AI6" s="1" t="str">
        <f t="shared" si="4"/>
        <v>No</v>
      </c>
      <c r="AJ6" s="1">
        <v>1</v>
      </c>
      <c r="AK6" s="1" t="str">
        <f t="shared" si="5"/>
        <v>Yes</v>
      </c>
      <c r="AL6" s="1">
        <v>0</v>
      </c>
      <c r="AM6" s="1" t="str">
        <f t="shared" si="6"/>
        <v>No</v>
      </c>
      <c r="AN6" s="1">
        <v>0</v>
      </c>
      <c r="AO6" s="1" t="str">
        <f t="shared" si="7"/>
        <v>No</v>
      </c>
      <c r="AP6" s="1" t="s">
        <v>153</v>
      </c>
      <c r="AQ6" s="1">
        <v>1</v>
      </c>
      <c r="AR6" s="1" t="str">
        <f t="shared" si="15"/>
        <v>Yes</v>
      </c>
      <c r="AS6" s="1">
        <v>1</v>
      </c>
      <c r="AT6" s="1" t="str">
        <f t="shared" si="8"/>
        <v>Yes</v>
      </c>
      <c r="AU6" s="1">
        <v>0</v>
      </c>
      <c r="AV6" s="1" t="str">
        <f t="shared" si="9"/>
        <v>No</v>
      </c>
      <c r="AW6" s="1">
        <v>0</v>
      </c>
      <c r="AX6" s="1" t="str">
        <f t="shared" si="10"/>
        <v>No</v>
      </c>
      <c r="AY6" s="1">
        <v>0</v>
      </c>
      <c r="AZ6" s="1" t="str">
        <f t="shared" si="11"/>
        <v>No</v>
      </c>
      <c r="BA6" s="1">
        <v>1</v>
      </c>
      <c r="BB6" s="1" t="str">
        <f t="shared" si="12"/>
        <v>Yes</v>
      </c>
      <c r="BC6" s="1">
        <v>0</v>
      </c>
      <c r="BD6" s="1" t="str">
        <f t="shared" si="13"/>
        <v>No</v>
      </c>
      <c r="BE6" s="1">
        <v>0</v>
      </c>
      <c r="BF6" s="1" t="str">
        <f t="shared" si="14"/>
        <v>No</v>
      </c>
      <c r="BG6" s="1">
        <v>0</v>
      </c>
      <c r="BH6" s="1">
        <v>0.5</v>
      </c>
      <c r="BI6" s="1">
        <v>2</v>
      </c>
      <c r="DM6" s="1">
        <v>558535251</v>
      </c>
      <c r="DN6" s="1" t="s">
        <v>154</v>
      </c>
      <c r="DO6" s="2">
        <v>45914.165034722217</v>
      </c>
      <c r="DR6" s="1" t="s">
        <v>121</v>
      </c>
      <c r="DT6" s="1" t="s">
        <v>139</v>
      </c>
      <c r="DV6" s="1">
        <v>7</v>
      </c>
    </row>
    <row r="7" spans="1:126" ht="14.25" customHeight="1" x14ac:dyDescent="0.3">
      <c r="A7" s="2">
        <v>45914.394221296287</v>
      </c>
      <c r="B7" s="2">
        <v>45914.397394768523</v>
      </c>
      <c r="C7" s="1">
        <v>37</v>
      </c>
      <c r="D7" s="1" t="s">
        <v>148</v>
      </c>
      <c r="E7" s="1" t="s">
        <v>155</v>
      </c>
      <c r="F7" s="1" t="s">
        <v>156</v>
      </c>
      <c r="G7" s="1">
        <v>10.022466</v>
      </c>
      <c r="H7" s="1">
        <v>76.305913000000004</v>
      </c>
      <c r="I7" s="1">
        <v>0</v>
      </c>
      <c r="J7" s="1">
        <v>0</v>
      </c>
      <c r="K7" s="1" t="s">
        <v>113</v>
      </c>
      <c r="L7" s="1" t="s">
        <v>157</v>
      </c>
      <c r="M7" s="1" t="s">
        <v>136</v>
      </c>
      <c r="N7" s="1">
        <v>165</v>
      </c>
      <c r="O7" s="1">
        <v>200</v>
      </c>
      <c r="P7" s="1">
        <v>365</v>
      </c>
      <c r="Q7" s="1">
        <v>14</v>
      </c>
      <c r="R7" s="1">
        <v>13</v>
      </c>
      <c r="S7" s="1">
        <v>1</v>
      </c>
      <c r="T7" s="1">
        <v>3</v>
      </c>
      <c r="U7" s="1">
        <v>7</v>
      </c>
      <c r="V7" s="1" t="s">
        <v>116</v>
      </c>
      <c r="W7" s="1" t="s">
        <v>158</v>
      </c>
      <c r="X7" s="1">
        <v>13</v>
      </c>
      <c r="Y7" s="1" t="s">
        <v>159</v>
      </c>
      <c r="Z7" s="1">
        <v>0</v>
      </c>
      <c r="AA7" s="1" t="str">
        <f t="shared" si="0"/>
        <v>No</v>
      </c>
      <c r="AB7" s="1">
        <v>0</v>
      </c>
      <c r="AC7" s="1" t="str">
        <f t="shared" si="1"/>
        <v>No</v>
      </c>
      <c r="AD7" s="1">
        <v>0</v>
      </c>
      <c r="AE7" s="1" t="str">
        <f t="shared" si="2"/>
        <v>No</v>
      </c>
      <c r="AF7" s="1">
        <v>0</v>
      </c>
      <c r="AG7" s="1" t="str">
        <f t="shared" si="3"/>
        <v>No</v>
      </c>
      <c r="AH7" s="1">
        <v>0</v>
      </c>
      <c r="AI7" s="1" t="str">
        <f t="shared" si="4"/>
        <v>No</v>
      </c>
      <c r="AJ7" s="1">
        <v>1</v>
      </c>
      <c r="AK7" s="1" t="str">
        <f t="shared" si="5"/>
        <v>Yes</v>
      </c>
      <c r="AL7" s="1">
        <v>0</v>
      </c>
      <c r="AM7" s="1" t="str">
        <f t="shared" si="6"/>
        <v>No</v>
      </c>
      <c r="AN7" s="1">
        <v>1</v>
      </c>
      <c r="AO7" s="1" t="str">
        <f t="shared" si="7"/>
        <v>Yes</v>
      </c>
      <c r="AP7" s="1" t="s">
        <v>159</v>
      </c>
      <c r="AQ7" s="1">
        <v>0</v>
      </c>
      <c r="AR7" s="1" t="str">
        <f t="shared" si="15"/>
        <v>No</v>
      </c>
      <c r="AS7" s="1">
        <v>0</v>
      </c>
      <c r="AT7" s="1" t="str">
        <f t="shared" si="8"/>
        <v>No</v>
      </c>
      <c r="AU7" s="1">
        <v>0</v>
      </c>
      <c r="AV7" s="1" t="str">
        <f t="shared" si="9"/>
        <v>No</v>
      </c>
      <c r="AW7" s="1">
        <v>0</v>
      </c>
      <c r="AX7" s="1" t="str">
        <f t="shared" si="10"/>
        <v>No</v>
      </c>
      <c r="AY7" s="1">
        <v>0</v>
      </c>
      <c r="AZ7" s="1" t="str">
        <f t="shared" si="11"/>
        <v>No</v>
      </c>
      <c r="BA7" s="1">
        <v>1</v>
      </c>
      <c r="BB7" s="1" t="str">
        <f t="shared" si="12"/>
        <v>Yes</v>
      </c>
      <c r="BC7" s="1">
        <v>0</v>
      </c>
      <c r="BD7" s="1" t="str">
        <f t="shared" si="13"/>
        <v>No</v>
      </c>
      <c r="BE7" s="1">
        <v>1</v>
      </c>
      <c r="BF7" s="1" t="str">
        <f t="shared" si="14"/>
        <v>Yes</v>
      </c>
      <c r="BG7" s="1">
        <v>0</v>
      </c>
      <c r="BH7" s="1">
        <v>0.5</v>
      </c>
      <c r="BI7" s="1">
        <v>0.5</v>
      </c>
      <c r="DM7" s="1">
        <v>558535879</v>
      </c>
      <c r="DN7" s="1" t="s">
        <v>160</v>
      </c>
      <c r="DO7" s="2">
        <v>45914.168206018519</v>
      </c>
      <c r="DR7" s="1" t="s">
        <v>121</v>
      </c>
      <c r="DT7" s="1" t="s">
        <v>139</v>
      </c>
      <c r="DV7" s="1">
        <v>8</v>
      </c>
    </row>
    <row r="8" spans="1:126" ht="14.25" customHeight="1" x14ac:dyDescent="0.3">
      <c r="A8" s="2">
        <v>45914.397394942127</v>
      </c>
      <c r="B8" s="2">
        <v>45914.399477777777</v>
      </c>
      <c r="C8" s="1">
        <v>37</v>
      </c>
      <c r="D8" s="1" t="s">
        <v>148</v>
      </c>
      <c r="E8" s="1" t="s">
        <v>161</v>
      </c>
      <c r="F8" s="1" t="s">
        <v>162</v>
      </c>
      <c r="G8" s="1">
        <v>10.017718</v>
      </c>
      <c r="H8" s="1">
        <v>76.301704000000001</v>
      </c>
      <c r="I8" s="1">
        <v>0</v>
      </c>
      <c r="J8" s="1">
        <v>0</v>
      </c>
      <c r="K8" s="1" t="s">
        <v>113</v>
      </c>
      <c r="L8" s="1" t="s">
        <v>163</v>
      </c>
      <c r="M8" s="1" t="s">
        <v>151</v>
      </c>
      <c r="N8" s="1">
        <v>52</v>
      </c>
      <c r="O8" s="1">
        <v>23</v>
      </c>
      <c r="P8" s="1">
        <v>75</v>
      </c>
      <c r="Q8" s="1">
        <v>5</v>
      </c>
      <c r="R8" s="1">
        <v>4</v>
      </c>
      <c r="S8" s="1">
        <v>1</v>
      </c>
      <c r="T8" s="1">
        <v>6</v>
      </c>
      <c r="U8" s="1">
        <v>5</v>
      </c>
      <c r="V8" s="1" t="s">
        <v>116</v>
      </c>
      <c r="W8" s="1" t="s">
        <v>164</v>
      </c>
      <c r="X8" s="1">
        <v>3</v>
      </c>
      <c r="Y8" s="1" t="s">
        <v>165</v>
      </c>
      <c r="Z8" s="1">
        <v>0</v>
      </c>
      <c r="AA8" s="1" t="str">
        <f t="shared" si="0"/>
        <v>No</v>
      </c>
      <c r="AB8" s="1">
        <v>0</v>
      </c>
      <c r="AC8" s="1" t="str">
        <f t="shared" si="1"/>
        <v>No</v>
      </c>
      <c r="AD8" s="1">
        <v>0</v>
      </c>
      <c r="AE8" s="1" t="str">
        <f t="shared" si="2"/>
        <v>No</v>
      </c>
      <c r="AF8" s="1">
        <v>0</v>
      </c>
      <c r="AG8" s="1" t="str">
        <f t="shared" si="3"/>
        <v>No</v>
      </c>
      <c r="AH8" s="1">
        <v>0</v>
      </c>
      <c r="AI8" s="1" t="str">
        <f t="shared" si="4"/>
        <v>No</v>
      </c>
      <c r="AJ8" s="1">
        <v>1</v>
      </c>
      <c r="AK8" s="1" t="str">
        <f t="shared" si="5"/>
        <v>Yes</v>
      </c>
      <c r="AL8" s="1">
        <v>0</v>
      </c>
      <c r="AM8" s="1" t="str">
        <f t="shared" si="6"/>
        <v>No</v>
      </c>
      <c r="AN8" s="1">
        <v>0</v>
      </c>
      <c r="AO8" s="1" t="str">
        <f t="shared" si="7"/>
        <v>No</v>
      </c>
      <c r="AP8" s="1" t="s">
        <v>166</v>
      </c>
      <c r="AQ8" s="1">
        <v>1</v>
      </c>
      <c r="AR8" s="1" t="str">
        <f t="shared" si="15"/>
        <v>Yes</v>
      </c>
      <c r="AS8" s="1">
        <v>1</v>
      </c>
      <c r="AT8" s="1" t="str">
        <f t="shared" si="8"/>
        <v>Yes</v>
      </c>
      <c r="AU8" s="1">
        <v>0</v>
      </c>
      <c r="AV8" s="1" t="str">
        <f t="shared" si="9"/>
        <v>No</v>
      </c>
      <c r="AW8" s="1">
        <v>0</v>
      </c>
      <c r="AX8" s="1" t="str">
        <f t="shared" si="10"/>
        <v>No</v>
      </c>
      <c r="AY8" s="1">
        <v>0</v>
      </c>
      <c r="AZ8" s="1" t="str">
        <f t="shared" si="11"/>
        <v>No</v>
      </c>
      <c r="BA8" s="1">
        <v>0</v>
      </c>
      <c r="BB8" s="1" t="str">
        <f t="shared" si="12"/>
        <v>No</v>
      </c>
      <c r="BC8" s="1">
        <v>0</v>
      </c>
      <c r="BD8" s="1" t="str">
        <f t="shared" si="13"/>
        <v>No</v>
      </c>
      <c r="BE8" s="1">
        <v>0</v>
      </c>
      <c r="BF8" s="1" t="str">
        <f t="shared" si="14"/>
        <v>No</v>
      </c>
      <c r="BG8" s="1">
        <v>0</v>
      </c>
      <c r="BH8" s="1">
        <v>0.05</v>
      </c>
      <c r="BI8" s="1">
        <v>0.17</v>
      </c>
      <c r="DM8" s="1">
        <v>558536651</v>
      </c>
      <c r="DN8" s="1" t="s">
        <v>167</v>
      </c>
      <c r="DO8" s="2">
        <v>45914.170277777783</v>
      </c>
      <c r="DR8" s="1" t="s">
        <v>121</v>
      </c>
      <c r="DT8" s="1" t="s">
        <v>139</v>
      </c>
      <c r="DV8" s="1">
        <v>9</v>
      </c>
    </row>
    <row r="9" spans="1:126" ht="14.25" customHeight="1" x14ac:dyDescent="0.3">
      <c r="A9" s="2">
        <v>45914.399477928237</v>
      </c>
      <c r="B9" s="2">
        <v>45914.401753831022</v>
      </c>
      <c r="C9" s="1">
        <v>41</v>
      </c>
      <c r="D9" s="1" t="s">
        <v>168</v>
      </c>
      <c r="E9" s="1" t="s">
        <v>169</v>
      </c>
      <c r="F9" s="1" t="s">
        <v>170</v>
      </c>
      <c r="G9" s="1">
        <v>10.010341</v>
      </c>
      <c r="H9" s="1">
        <v>76.313616999999994</v>
      </c>
      <c r="I9" s="1">
        <v>0</v>
      </c>
      <c r="J9" s="1">
        <v>0</v>
      </c>
      <c r="K9" s="1" t="s">
        <v>113</v>
      </c>
      <c r="L9" s="1" t="s">
        <v>157</v>
      </c>
      <c r="M9" s="1" t="s">
        <v>151</v>
      </c>
      <c r="N9" s="1">
        <v>37</v>
      </c>
      <c r="O9" s="1">
        <v>34</v>
      </c>
      <c r="P9" s="1">
        <v>71</v>
      </c>
      <c r="Q9" s="1">
        <v>5</v>
      </c>
      <c r="R9" s="1">
        <v>6</v>
      </c>
      <c r="S9" s="1">
        <v>3</v>
      </c>
      <c r="T9" s="1">
        <v>8</v>
      </c>
      <c r="U9" s="1">
        <v>13</v>
      </c>
      <c r="V9" s="1" t="s">
        <v>116</v>
      </c>
      <c r="W9" s="1" t="s">
        <v>164</v>
      </c>
      <c r="X9" s="1">
        <v>6</v>
      </c>
      <c r="Y9" s="1" t="s">
        <v>159</v>
      </c>
      <c r="Z9" s="1">
        <v>0</v>
      </c>
      <c r="AA9" s="1" t="str">
        <f t="shared" si="0"/>
        <v>No</v>
      </c>
      <c r="AB9" s="1">
        <v>0</v>
      </c>
      <c r="AC9" s="1" t="str">
        <f t="shared" si="1"/>
        <v>No</v>
      </c>
      <c r="AD9" s="1">
        <v>0</v>
      </c>
      <c r="AE9" s="1" t="str">
        <f t="shared" si="2"/>
        <v>No</v>
      </c>
      <c r="AF9" s="1">
        <v>0</v>
      </c>
      <c r="AG9" s="1" t="str">
        <f t="shared" si="3"/>
        <v>No</v>
      </c>
      <c r="AH9" s="1">
        <v>0</v>
      </c>
      <c r="AI9" s="1" t="str">
        <f t="shared" si="4"/>
        <v>No</v>
      </c>
      <c r="AJ9" s="1">
        <v>1</v>
      </c>
      <c r="AK9" s="1" t="str">
        <f t="shared" si="5"/>
        <v>Yes</v>
      </c>
      <c r="AL9" s="1">
        <v>0</v>
      </c>
      <c r="AM9" s="1" t="str">
        <f t="shared" si="6"/>
        <v>No</v>
      </c>
      <c r="AN9" s="1">
        <v>1</v>
      </c>
      <c r="AO9" s="1" t="str">
        <f t="shared" si="7"/>
        <v>Yes</v>
      </c>
      <c r="AP9" s="1" t="s">
        <v>171</v>
      </c>
      <c r="AQ9" s="1">
        <v>1</v>
      </c>
      <c r="AR9" s="1" t="str">
        <f t="shared" si="15"/>
        <v>Yes</v>
      </c>
      <c r="AS9" s="1">
        <v>0</v>
      </c>
      <c r="AT9" s="1" t="str">
        <f t="shared" si="8"/>
        <v>No</v>
      </c>
      <c r="AU9" s="1">
        <v>0</v>
      </c>
      <c r="AV9" s="1" t="str">
        <f t="shared" si="9"/>
        <v>No</v>
      </c>
      <c r="AW9" s="1">
        <v>0</v>
      </c>
      <c r="AX9" s="1" t="str">
        <f t="shared" si="10"/>
        <v>No</v>
      </c>
      <c r="AY9" s="1">
        <v>0</v>
      </c>
      <c r="AZ9" s="1" t="str">
        <f t="shared" si="11"/>
        <v>No</v>
      </c>
      <c r="BA9" s="1">
        <v>1</v>
      </c>
      <c r="BB9" s="1" t="str">
        <f t="shared" si="12"/>
        <v>Yes</v>
      </c>
      <c r="BC9" s="1">
        <v>0</v>
      </c>
      <c r="BD9" s="1" t="str">
        <f t="shared" si="13"/>
        <v>No</v>
      </c>
      <c r="BE9" s="1">
        <v>0</v>
      </c>
      <c r="BF9" s="1" t="str">
        <f t="shared" si="14"/>
        <v>No</v>
      </c>
      <c r="BG9" s="1">
        <v>0</v>
      </c>
      <c r="BH9" s="1">
        <v>0.5</v>
      </c>
      <c r="BI9" s="1">
        <v>1</v>
      </c>
      <c r="DM9" s="1">
        <v>558537447</v>
      </c>
      <c r="DN9" s="1" t="s">
        <v>172</v>
      </c>
      <c r="DO9" s="2">
        <v>45914.17255787037</v>
      </c>
      <c r="DR9" s="1" t="s">
        <v>121</v>
      </c>
      <c r="DT9" s="1" t="s">
        <v>139</v>
      </c>
      <c r="DV9" s="1">
        <v>10</v>
      </c>
    </row>
    <row r="10" spans="1:126" ht="14.25" customHeight="1" x14ac:dyDescent="0.3">
      <c r="A10" s="2">
        <v>45914.391249895831</v>
      </c>
      <c r="B10" s="2">
        <v>45914.402196030103</v>
      </c>
      <c r="C10" s="1">
        <v>59</v>
      </c>
      <c r="D10" s="1" t="s">
        <v>173</v>
      </c>
      <c r="E10" s="1" t="s">
        <v>174</v>
      </c>
      <c r="F10" s="1" t="s">
        <v>175</v>
      </c>
      <c r="G10" s="1">
        <v>9.9383879999999998</v>
      </c>
      <c r="H10" s="1">
        <v>76.297319000000002</v>
      </c>
      <c r="I10" s="1">
        <v>0</v>
      </c>
      <c r="J10" s="1">
        <v>0</v>
      </c>
      <c r="K10" s="1" t="s">
        <v>113</v>
      </c>
      <c r="L10" s="1" t="s">
        <v>143</v>
      </c>
      <c r="M10" s="1" t="s">
        <v>115</v>
      </c>
      <c r="N10" s="1">
        <v>388</v>
      </c>
      <c r="O10" s="1">
        <v>211</v>
      </c>
      <c r="P10" s="1">
        <v>599</v>
      </c>
      <c r="Q10" s="1">
        <v>19</v>
      </c>
      <c r="R10" s="1">
        <v>12</v>
      </c>
      <c r="S10" s="1">
        <v>12</v>
      </c>
      <c r="T10" s="1">
        <v>40</v>
      </c>
      <c r="U10" s="1">
        <v>12</v>
      </c>
      <c r="V10" s="1" t="s">
        <v>116</v>
      </c>
      <c r="W10" s="1" t="s">
        <v>176</v>
      </c>
      <c r="X10" s="1">
        <v>12</v>
      </c>
      <c r="Y10" s="1" t="s">
        <v>118</v>
      </c>
      <c r="Z10" s="1">
        <v>1</v>
      </c>
      <c r="AA10" s="1" t="str">
        <f t="shared" si="0"/>
        <v>Yes</v>
      </c>
      <c r="AB10" s="1">
        <v>0</v>
      </c>
      <c r="AC10" s="1" t="str">
        <f t="shared" si="1"/>
        <v>No</v>
      </c>
      <c r="AD10" s="1">
        <v>1</v>
      </c>
      <c r="AE10" s="1" t="str">
        <f t="shared" si="2"/>
        <v>Yes</v>
      </c>
      <c r="AF10" s="1">
        <v>1</v>
      </c>
      <c r="AG10" s="1" t="str">
        <f t="shared" si="3"/>
        <v>Yes</v>
      </c>
      <c r="AH10" s="1">
        <v>0</v>
      </c>
      <c r="AI10" s="1" t="str">
        <f t="shared" si="4"/>
        <v>No</v>
      </c>
      <c r="AJ10" s="1">
        <v>0</v>
      </c>
      <c r="AK10" s="1" t="str">
        <f t="shared" si="5"/>
        <v>No</v>
      </c>
      <c r="AL10" s="1">
        <v>1</v>
      </c>
      <c r="AM10" s="1" t="str">
        <f t="shared" si="6"/>
        <v>Yes</v>
      </c>
      <c r="AN10" s="1">
        <v>0</v>
      </c>
      <c r="AO10" s="1" t="str">
        <f t="shared" si="7"/>
        <v>No</v>
      </c>
      <c r="AP10" s="1" t="s">
        <v>177</v>
      </c>
      <c r="AQ10" s="1">
        <v>0</v>
      </c>
      <c r="AR10" s="1" t="str">
        <f t="shared" si="15"/>
        <v>No</v>
      </c>
      <c r="AS10" s="1">
        <v>0</v>
      </c>
      <c r="AT10" s="1" t="str">
        <f t="shared" si="8"/>
        <v>No</v>
      </c>
      <c r="AU10" s="1">
        <v>0</v>
      </c>
      <c r="AV10" s="1" t="str">
        <f t="shared" si="9"/>
        <v>No</v>
      </c>
      <c r="AW10" s="1">
        <v>0</v>
      </c>
      <c r="AX10" s="1" t="str">
        <f t="shared" si="10"/>
        <v>No</v>
      </c>
      <c r="AY10" s="1">
        <v>1</v>
      </c>
      <c r="AZ10" s="1" t="str">
        <f t="shared" si="11"/>
        <v>Yes</v>
      </c>
      <c r="BA10" s="1">
        <v>1</v>
      </c>
      <c r="BB10" s="1" t="str">
        <f t="shared" si="12"/>
        <v>Yes</v>
      </c>
      <c r="BC10" s="1">
        <v>0</v>
      </c>
      <c r="BD10" s="1" t="str">
        <f t="shared" si="13"/>
        <v>No</v>
      </c>
      <c r="BE10" s="1">
        <v>0</v>
      </c>
      <c r="BF10" s="1" t="str">
        <f t="shared" si="14"/>
        <v>No</v>
      </c>
      <c r="BG10" s="1">
        <v>1</v>
      </c>
      <c r="BH10" s="1">
        <v>1E-3</v>
      </c>
      <c r="BI10" s="1">
        <v>5.0000000000000001E-3</v>
      </c>
      <c r="DM10" s="1">
        <v>558537682</v>
      </c>
      <c r="DN10" s="1" t="s">
        <v>178</v>
      </c>
      <c r="DO10" s="2">
        <v>45914.173032407409</v>
      </c>
      <c r="DR10" s="1" t="s">
        <v>121</v>
      </c>
      <c r="DT10" s="1" t="s">
        <v>139</v>
      </c>
      <c r="DV10" s="1">
        <v>11</v>
      </c>
    </row>
    <row r="11" spans="1:126" ht="14.25" customHeight="1" x14ac:dyDescent="0.3">
      <c r="A11" s="2">
        <v>45914.391810416673</v>
      </c>
      <c r="B11" s="2">
        <v>45914.402553252323</v>
      </c>
      <c r="C11" s="1">
        <v>59</v>
      </c>
      <c r="D11" s="1" t="s">
        <v>173</v>
      </c>
      <c r="E11" s="1" t="s">
        <v>179</v>
      </c>
      <c r="F11" s="1" t="s">
        <v>180</v>
      </c>
      <c r="G11" s="1">
        <v>9.9385399999999997</v>
      </c>
      <c r="H11" s="1">
        <v>76.296906000000007</v>
      </c>
      <c r="I11" s="1">
        <v>0</v>
      </c>
      <c r="J11" s="1">
        <v>0</v>
      </c>
      <c r="K11" s="1" t="s">
        <v>113</v>
      </c>
      <c r="L11" s="1" t="s">
        <v>163</v>
      </c>
      <c r="M11" s="1" t="s">
        <v>115</v>
      </c>
      <c r="N11" s="1">
        <v>514</v>
      </c>
      <c r="O11" s="1">
        <v>195</v>
      </c>
      <c r="P11" s="1">
        <v>709</v>
      </c>
      <c r="Q11" s="1">
        <v>25</v>
      </c>
      <c r="R11" s="1">
        <v>18</v>
      </c>
      <c r="S11" s="1">
        <v>7</v>
      </c>
      <c r="T11" s="1">
        <v>17</v>
      </c>
      <c r="U11" s="1">
        <v>17</v>
      </c>
      <c r="V11" s="1" t="s">
        <v>116</v>
      </c>
      <c r="W11" s="1" t="s">
        <v>181</v>
      </c>
      <c r="X11" s="1">
        <v>18</v>
      </c>
      <c r="Y11" s="1" t="s">
        <v>182</v>
      </c>
      <c r="Z11" s="1">
        <v>0</v>
      </c>
      <c r="AA11" s="1" t="str">
        <f t="shared" si="0"/>
        <v>No</v>
      </c>
      <c r="AB11" s="1">
        <v>0</v>
      </c>
      <c r="AC11" s="1" t="str">
        <f t="shared" si="1"/>
        <v>No</v>
      </c>
      <c r="AD11" s="1">
        <v>1</v>
      </c>
      <c r="AE11" s="1" t="str">
        <f t="shared" si="2"/>
        <v>Yes</v>
      </c>
      <c r="AF11" s="1">
        <v>1</v>
      </c>
      <c r="AG11" s="1" t="str">
        <f t="shared" si="3"/>
        <v>Yes</v>
      </c>
      <c r="AH11" s="1">
        <v>0</v>
      </c>
      <c r="AI11" s="1" t="str">
        <f t="shared" si="4"/>
        <v>No</v>
      </c>
      <c r="AJ11" s="1">
        <v>0</v>
      </c>
      <c r="AK11" s="1" t="str">
        <f t="shared" si="5"/>
        <v>No</v>
      </c>
      <c r="AL11" s="1">
        <v>1</v>
      </c>
      <c r="AM11" s="1" t="str">
        <f t="shared" si="6"/>
        <v>Yes</v>
      </c>
      <c r="AN11" s="1">
        <v>0</v>
      </c>
      <c r="AO11" s="1" t="str">
        <f t="shared" si="7"/>
        <v>No</v>
      </c>
      <c r="AP11" s="1" t="s">
        <v>183</v>
      </c>
      <c r="AQ11" s="1">
        <v>0</v>
      </c>
      <c r="AR11" s="1" t="str">
        <f t="shared" si="15"/>
        <v>No</v>
      </c>
      <c r="AS11" s="1">
        <v>0</v>
      </c>
      <c r="AT11" s="1" t="str">
        <f t="shared" si="8"/>
        <v>No</v>
      </c>
      <c r="AU11" s="1">
        <v>0</v>
      </c>
      <c r="AV11" s="1" t="str">
        <f t="shared" si="9"/>
        <v>No</v>
      </c>
      <c r="AW11" s="1">
        <v>0</v>
      </c>
      <c r="AX11" s="1" t="str">
        <f t="shared" si="10"/>
        <v>No</v>
      </c>
      <c r="AY11" s="1">
        <v>0</v>
      </c>
      <c r="AZ11" s="1" t="str">
        <f t="shared" si="11"/>
        <v>No</v>
      </c>
      <c r="BA11" s="1">
        <v>1</v>
      </c>
      <c r="BB11" s="1" t="str">
        <f t="shared" si="12"/>
        <v>Yes</v>
      </c>
      <c r="BC11" s="1">
        <v>1</v>
      </c>
      <c r="BD11" s="1" t="str">
        <f t="shared" si="13"/>
        <v>Yes</v>
      </c>
      <c r="BE11" s="1">
        <v>1</v>
      </c>
      <c r="BF11" s="1" t="str">
        <f t="shared" si="14"/>
        <v>Yes</v>
      </c>
      <c r="BG11" s="1">
        <v>0</v>
      </c>
      <c r="BH11" s="1">
        <v>0.02</v>
      </c>
      <c r="BI11" s="1">
        <v>0.05</v>
      </c>
      <c r="DM11" s="1">
        <v>558537824</v>
      </c>
      <c r="DN11" s="1" t="s">
        <v>184</v>
      </c>
      <c r="DO11" s="2">
        <v>45914.173391203702</v>
      </c>
      <c r="DR11" s="1" t="s">
        <v>121</v>
      </c>
      <c r="DT11" s="1" t="s">
        <v>139</v>
      </c>
      <c r="DV11" s="1">
        <v>12</v>
      </c>
    </row>
    <row r="12" spans="1:126" ht="14.25" customHeight="1" x14ac:dyDescent="0.3">
      <c r="A12" s="2">
        <v>45914.402196157411</v>
      </c>
      <c r="B12" s="2">
        <v>45914.408428703697</v>
      </c>
      <c r="C12" s="1">
        <v>59</v>
      </c>
      <c r="D12" s="1" t="s">
        <v>173</v>
      </c>
      <c r="E12" s="1" t="s">
        <v>185</v>
      </c>
      <c r="F12" s="1" t="s">
        <v>186</v>
      </c>
      <c r="G12" s="1">
        <v>9.9381477972133396</v>
      </c>
      <c r="H12" s="1">
        <v>76.297912777147403</v>
      </c>
      <c r="I12" s="1">
        <v>0</v>
      </c>
      <c r="J12" s="1">
        <v>0</v>
      </c>
      <c r="K12" s="1" t="s">
        <v>142</v>
      </c>
      <c r="L12" s="1" t="s">
        <v>135</v>
      </c>
      <c r="M12" s="1" t="s">
        <v>136</v>
      </c>
      <c r="N12" s="1">
        <v>1200</v>
      </c>
      <c r="O12" s="1">
        <v>1200</v>
      </c>
      <c r="P12" s="1">
        <v>2400</v>
      </c>
      <c r="Q12" s="1">
        <v>120</v>
      </c>
      <c r="R12" s="1">
        <v>60</v>
      </c>
      <c r="S12" s="1">
        <v>60</v>
      </c>
      <c r="T12" s="1">
        <v>120</v>
      </c>
      <c r="U12" s="1">
        <v>12</v>
      </c>
      <c r="V12" s="1" t="s">
        <v>116</v>
      </c>
      <c r="W12" s="1" t="s">
        <v>187</v>
      </c>
      <c r="X12" s="1">
        <v>46</v>
      </c>
      <c r="Y12" s="1" t="s">
        <v>118</v>
      </c>
      <c r="Z12" s="1">
        <v>1</v>
      </c>
      <c r="AA12" s="1" t="str">
        <f t="shared" si="0"/>
        <v>Yes</v>
      </c>
      <c r="AB12" s="1">
        <v>0</v>
      </c>
      <c r="AC12" s="1" t="str">
        <f t="shared" si="1"/>
        <v>No</v>
      </c>
      <c r="AD12" s="1">
        <v>1</v>
      </c>
      <c r="AE12" s="1" t="str">
        <f t="shared" si="2"/>
        <v>Yes</v>
      </c>
      <c r="AF12" s="1">
        <v>1</v>
      </c>
      <c r="AG12" s="1" t="str">
        <f t="shared" si="3"/>
        <v>Yes</v>
      </c>
      <c r="AH12" s="1">
        <v>0</v>
      </c>
      <c r="AI12" s="1" t="str">
        <f t="shared" si="4"/>
        <v>No</v>
      </c>
      <c r="AJ12" s="1">
        <v>0</v>
      </c>
      <c r="AK12" s="1" t="str">
        <f t="shared" si="5"/>
        <v>No</v>
      </c>
      <c r="AL12" s="1">
        <v>1</v>
      </c>
      <c r="AM12" s="1" t="str">
        <f t="shared" si="6"/>
        <v>Yes</v>
      </c>
      <c r="AN12" s="1">
        <v>0</v>
      </c>
      <c r="AO12" s="1" t="str">
        <f t="shared" si="7"/>
        <v>No</v>
      </c>
      <c r="AP12" s="1" t="s">
        <v>146</v>
      </c>
      <c r="AQ12" s="1">
        <v>0</v>
      </c>
      <c r="AR12" s="1" t="str">
        <f t="shared" si="15"/>
        <v>No</v>
      </c>
      <c r="AS12" s="1">
        <v>0</v>
      </c>
      <c r="AT12" s="1" t="str">
        <f t="shared" si="8"/>
        <v>No</v>
      </c>
      <c r="AU12" s="1">
        <v>0</v>
      </c>
      <c r="AV12" s="1" t="str">
        <f t="shared" si="9"/>
        <v>No</v>
      </c>
      <c r="AW12" s="1">
        <v>0</v>
      </c>
      <c r="AX12" s="1" t="str">
        <f t="shared" si="10"/>
        <v>No</v>
      </c>
      <c r="AY12" s="1">
        <v>0</v>
      </c>
      <c r="AZ12" s="1" t="str">
        <f t="shared" si="11"/>
        <v>No</v>
      </c>
      <c r="BA12" s="1">
        <v>1</v>
      </c>
      <c r="BB12" s="1" t="str">
        <f t="shared" si="12"/>
        <v>Yes</v>
      </c>
      <c r="BC12" s="1">
        <v>1</v>
      </c>
      <c r="BD12" s="1" t="str">
        <f t="shared" si="13"/>
        <v>Yes</v>
      </c>
      <c r="BE12" s="1">
        <v>0</v>
      </c>
      <c r="BF12" s="1" t="str">
        <f t="shared" si="14"/>
        <v>No</v>
      </c>
      <c r="BG12" s="1">
        <v>13</v>
      </c>
      <c r="BH12" s="1">
        <v>1E-3</v>
      </c>
      <c r="BI12" s="1">
        <v>0.04</v>
      </c>
      <c r="DM12" s="1">
        <v>558539384</v>
      </c>
      <c r="DN12" s="1" t="s">
        <v>188</v>
      </c>
      <c r="DO12" s="2">
        <v>45914.179293981477</v>
      </c>
      <c r="DR12" s="1" t="s">
        <v>121</v>
      </c>
      <c r="DT12" s="1" t="s">
        <v>139</v>
      </c>
      <c r="DV12" s="1">
        <v>13</v>
      </c>
    </row>
    <row r="13" spans="1:126" ht="14.25" customHeight="1" x14ac:dyDescent="0.3">
      <c r="A13" s="2">
        <v>45914.402553472217</v>
      </c>
      <c r="B13" s="2">
        <v>45914.40916171296</v>
      </c>
      <c r="C13" s="1">
        <v>59</v>
      </c>
      <c r="D13" s="1" t="s">
        <v>173</v>
      </c>
      <c r="E13" s="1" t="s">
        <v>189</v>
      </c>
      <c r="F13" s="1" t="s">
        <v>190</v>
      </c>
      <c r="G13" s="1">
        <v>9.9398909999999994</v>
      </c>
      <c r="H13" s="1">
        <v>76.296165999999999</v>
      </c>
      <c r="I13" s="1">
        <v>0</v>
      </c>
      <c r="J13" s="1">
        <v>0</v>
      </c>
      <c r="K13" s="1" t="s">
        <v>113</v>
      </c>
      <c r="L13" s="1" t="s">
        <v>191</v>
      </c>
      <c r="M13" s="1" t="s">
        <v>115</v>
      </c>
      <c r="N13" s="1">
        <v>70</v>
      </c>
      <c r="O13" s="1">
        <v>33</v>
      </c>
      <c r="P13" s="1">
        <v>103</v>
      </c>
      <c r="Q13" s="1">
        <v>4</v>
      </c>
      <c r="R13" s="1">
        <v>4</v>
      </c>
      <c r="S13" s="1">
        <v>0</v>
      </c>
      <c r="T13" s="1">
        <v>0</v>
      </c>
      <c r="U13" s="1">
        <v>4</v>
      </c>
      <c r="V13" s="1" t="s">
        <v>116</v>
      </c>
      <c r="X13" s="1">
        <v>4</v>
      </c>
      <c r="Y13" s="1" t="s">
        <v>183</v>
      </c>
      <c r="Z13" s="1">
        <v>0</v>
      </c>
      <c r="AA13" s="1" t="str">
        <f t="shared" si="0"/>
        <v>No</v>
      </c>
      <c r="AB13" s="1">
        <v>0</v>
      </c>
      <c r="AC13" s="1" t="str">
        <f t="shared" si="1"/>
        <v>No</v>
      </c>
      <c r="AD13" s="1">
        <v>0</v>
      </c>
      <c r="AE13" s="1" t="str">
        <f t="shared" si="2"/>
        <v>No</v>
      </c>
      <c r="AF13" s="1">
        <v>0</v>
      </c>
      <c r="AG13" s="1" t="str">
        <f t="shared" si="3"/>
        <v>No</v>
      </c>
      <c r="AH13" s="1">
        <v>0</v>
      </c>
      <c r="AI13" s="1" t="str">
        <f t="shared" si="4"/>
        <v>No</v>
      </c>
      <c r="AJ13" s="1">
        <v>1</v>
      </c>
      <c r="AK13" s="1" t="str">
        <f t="shared" si="5"/>
        <v>Yes</v>
      </c>
      <c r="AL13" s="1">
        <v>1</v>
      </c>
      <c r="AM13" s="1" t="str">
        <f t="shared" si="6"/>
        <v>Yes</v>
      </c>
      <c r="AN13" s="1">
        <v>1</v>
      </c>
      <c r="AO13" s="1" t="str">
        <f t="shared" si="7"/>
        <v>Yes</v>
      </c>
      <c r="AP13" s="1" t="s">
        <v>192</v>
      </c>
      <c r="AQ13" s="1">
        <v>1</v>
      </c>
      <c r="AR13" s="1" t="str">
        <f t="shared" si="15"/>
        <v>Yes</v>
      </c>
      <c r="AS13" s="1">
        <v>0</v>
      </c>
      <c r="AT13" s="1" t="str">
        <f t="shared" si="8"/>
        <v>No</v>
      </c>
      <c r="AU13" s="1">
        <v>1</v>
      </c>
      <c r="AV13" s="1" t="str">
        <f t="shared" si="9"/>
        <v>Yes</v>
      </c>
      <c r="AW13" s="1">
        <v>0</v>
      </c>
      <c r="AX13" s="1" t="str">
        <f t="shared" si="10"/>
        <v>No</v>
      </c>
      <c r="AY13" s="1">
        <v>0</v>
      </c>
      <c r="AZ13" s="1" t="str">
        <f t="shared" si="11"/>
        <v>No</v>
      </c>
      <c r="BA13" s="1">
        <v>0</v>
      </c>
      <c r="BB13" s="1" t="str">
        <f t="shared" si="12"/>
        <v>No</v>
      </c>
      <c r="BC13" s="1">
        <v>1</v>
      </c>
      <c r="BD13" s="1" t="str">
        <f t="shared" si="13"/>
        <v>Yes</v>
      </c>
      <c r="BE13" s="1">
        <v>0</v>
      </c>
      <c r="BF13" s="1" t="str">
        <f t="shared" si="14"/>
        <v>No</v>
      </c>
      <c r="BG13" s="1">
        <v>0</v>
      </c>
      <c r="BH13" s="1">
        <v>0.1</v>
      </c>
      <c r="BI13" s="1">
        <v>0.2</v>
      </c>
      <c r="DM13" s="1">
        <v>558539495</v>
      </c>
      <c r="DN13" s="1" t="s">
        <v>193</v>
      </c>
      <c r="DO13" s="2">
        <v>45914.18</v>
      </c>
      <c r="DR13" s="1" t="s">
        <v>121</v>
      </c>
      <c r="DT13" s="1" t="s">
        <v>139</v>
      </c>
      <c r="DV13" s="1">
        <v>14</v>
      </c>
    </row>
    <row r="14" spans="1:126" ht="14.25" customHeight="1" x14ac:dyDescent="0.3">
      <c r="A14" s="2">
        <v>45911.406631608799</v>
      </c>
      <c r="B14" s="2">
        <v>45914.412909224528</v>
      </c>
      <c r="C14" s="1">
        <v>74</v>
      </c>
      <c r="D14" s="1" t="s">
        <v>131</v>
      </c>
      <c r="E14" s="1" t="s">
        <v>194</v>
      </c>
      <c r="F14" s="1" t="s">
        <v>195</v>
      </c>
      <c r="G14" s="1">
        <v>10.0138</v>
      </c>
      <c r="H14" s="1">
        <v>76.274799999999999</v>
      </c>
      <c r="I14" s="1">
        <v>0</v>
      </c>
      <c r="J14" s="1">
        <v>0</v>
      </c>
      <c r="K14" s="1" t="s">
        <v>113</v>
      </c>
      <c r="L14" s="1" t="s">
        <v>157</v>
      </c>
      <c r="M14" s="1" t="s">
        <v>115</v>
      </c>
      <c r="N14" s="1">
        <v>65</v>
      </c>
      <c r="O14" s="1">
        <v>53</v>
      </c>
      <c r="P14" s="1">
        <v>118</v>
      </c>
      <c r="Q14" s="1">
        <v>8</v>
      </c>
      <c r="R14" s="1">
        <v>6</v>
      </c>
      <c r="S14" s="1">
        <v>6</v>
      </c>
      <c r="T14" s="1">
        <v>7</v>
      </c>
      <c r="U14" s="1">
        <v>6</v>
      </c>
      <c r="V14" s="1" t="s">
        <v>116</v>
      </c>
      <c r="W14" s="1" t="s">
        <v>196</v>
      </c>
      <c r="X14" s="1">
        <v>6</v>
      </c>
      <c r="Y14" s="1" t="s">
        <v>197</v>
      </c>
      <c r="Z14" s="1">
        <v>0</v>
      </c>
      <c r="AA14" s="1" t="str">
        <f t="shared" si="0"/>
        <v>No</v>
      </c>
      <c r="AB14" s="1">
        <v>0</v>
      </c>
      <c r="AC14" s="1" t="str">
        <f t="shared" si="1"/>
        <v>No</v>
      </c>
      <c r="AD14" s="1">
        <v>1</v>
      </c>
      <c r="AE14" s="1" t="str">
        <f t="shared" si="2"/>
        <v>Yes</v>
      </c>
      <c r="AF14" s="1">
        <v>1</v>
      </c>
      <c r="AG14" s="1" t="str">
        <f t="shared" si="3"/>
        <v>Yes</v>
      </c>
      <c r="AH14" s="1">
        <v>0</v>
      </c>
      <c r="AI14" s="1" t="str">
        <f t="shared" si="4"/>
        <v>No</v>
      </c>
      <c r="AJ14" s="1">
        <v>1</v>
      </c>
      <c r="AK14" s="1" t="str">
        <f t="shared" si="5"/>
        <v>Yes</v>
      </c>
      <c r="AL14" s="1">
        <v>1</v>
      </c>
      <c r="AM14" s="1" t="str">
        <f t="shared" si="6"/>
        <v>Yes</v>
      </c>
      <c r="AN14" s="1">
        <v>0</v>
      </c>
      <c r="AO14" s="1" t="str">
        <f t="shared" si="7"/>
        <v>No</v>
      </c>
      <c r="AP14" s="1" t="s">
        <v>198</v>
      </c>
      <c r="AQ14" s="1">
        <v>1</v>
      </c>
      <c r="AR14" s="1" t="str">
        <f t="shared" si="15"/>
        <v>Yes</v>
      </c>
      <c r="AS14" s="1">
        <v>0</v>
      </c>
      <c r="AT14" s="1" t="str">
        <f t="shared" si="8"/>
        <v>No</v>
      </c>
      <c r="AU14" s="1">
        <v>0</v>
      </c>
      <c r="AV14" s="1" t="str">
        <f t="shared" si="9"/>
        <v>No</v>
      </c>
      <c r="AW14" s="1">
        <v>0</v>
      </c>
      <c r="AX14" s="1" t="str">
        <f t="shared" si="10"/>
        <v>No</v>
      </c>
      <c r="AY14" s="1">
        <v>1</v>
      </c>
      <c r="AZ14" s="1" t="str">
        <f t="shared" si="11"/>
        <v>Yes</v>
      </c>
      <c r="BA14" s="1">
        <v>1</v>
      </c>
      <c r="BB14" s="1" t="str">
        <f t="shared" si="12"/>
        <v>Yes</v>
      </c>
      <c r="BC14" s="1">
        <v>0</v>
      </c>
      <c r="BD14" s="1" t="str">
        <f t="shared" si="13"/>
        <v>No</v>
      </c>
      <c r="BE14" s="1">
        <v>0</v>
      </c>
      <c r="BF14" s="1" t="str">
        <f t="shared" si="14"/>
        <v>No</v>
      </c>
      <c r="BG14" s="1">
        <v>5</v>
      </c>
      <c r="BH14" s="1">
        <v>5.0000000000000001E-3</v>
      </c>
      <c r="BI14" s="1">
        <v>0</v>
      </c>
      <c r="DM14" s="1">
        <v>558540670</v>
      </c>
      <c r="DN14" s="1" t="s">
        <v>199</v>
      </c>
      <c r="DO14" s="2">
        <v>45914.183738425927</v>
      </c>
      <c r="DR14" s="1" t="s">
        <v>121</v>
      </c>
      <c r="DT14" s="1" t="s">
        <v>139</v>
      </c>
      <c r="DV14" s="1">
        <v>15</v>
      </c>
    </row>
    <row r="15" spans="1:126" ht="14.25" customHeight="1" x14ac:dyDescent="0.3">
      <c r="A15" s="2">
        <v>45914.420471770827</v>
      </c>
      <c r="B15" s="2">
        <v>45914.425962175927</v>
      </c>
      <c r="C15" s="1">
        <v>63</v>
      </c>
      <c r="D15" s="1" t="s">
        <v>200</v>
      </c>
      <c r="E15" s="1" t="s">
        <v>201</v>
      </c>
      <c r="F15" s="1" t="s">
        <v>202</v>
      </c>
      <c r="G15" s="1">
        <v>9.9817209866798127</v>
      </c>
      <c r="H15" s="1">
        <v>76.280562495634314</v>
      </c>
      <c r="I15" s="1">
        <v>0</v>
      </c>
      <c r="J15" s="1">
        <v>0</v>
      </c>
      <c r="K15" s="1" t="s">
        <v>134</v>
      </c>
      <c r="L15" s="1" t="s">
        <v>143</v>
      </c>
      <c r="M15" s="1" t="s">
        <v>136</v>
      </c>
      <c r="N15" s="1">
        <v>170</v>
      </c>
      <c r="O15" s="1">
        <v>152</v>
      </c>
      <c r="P15" s="1">
        <v>322</v>
      </c>
      <c r="Q15" s="1">
        <v>10</v>
      </c>
      <c r="R15" s="1">
        <v>13</v>
      </c>
      <c r="S15" s="1">
        <v>11</v>
      </c>
      <c r="T15" s="1">
        <v>25</v>
      </c>
      <c r="U15" s="1">
        <v>40</v>
      </c>
      <c r="V15" s="1" t="s">
        <v>116</v>
      </c>
      <c r="W15" s="1" t="s">
        <v>203</v>
      </c>
      <c r="X15" s="1">
        <v>13</v>
      </c>
      <c r="Y15" s="1" t="s">
        <v>204</v>
      </c>
      <c r="Z15" s="1">
        <v>1</v>
      </c>
      <c r="AA15" s="1" t="str">
        <f t="shared" si="0"/>
        <v>Yes</v>
      </c>
      <c r="AB15" s="1">
        <v>1</v>
      </c>
      <c r="AC15" s="1" t="str">
        <f t="shared" si="1"/>
        <v>Yes</v>
      </c>
      <c r="AD15" s="1">
        <v>1</v>
      </c>
      <c r="AE15" s="1" t="str">
        <f t="shared" si="2"/>
        <v>Yes</v>
      </c>
      <c r="AF15" s="1">
        <v>1</v>
      </c>
      <c r="AG15" s="1" t="str">
        <f t="shared" si="3"/>
        <v>Yes</v>
      </c>
      <c r="AH15" s="1">
        <v>0</v>
      </c>
      <c r="AI15" s="1" t="str">
        <f t="shared" si="4"/>
        <v>No</v>
      </c>
      <c r="AJ15" s="1">
        <v>1</v>
      </c>
      <c r="AK15" s="1" t="str">
        <f t="shared" si="5"/>
        <v>Yes</v>
      </c>
      <c r="AL15" s="1">
        <v>1</v>
      </c>
      <c r="AM15" s="1" t="str">
        <f t="shared" si="6"/>
        <v>Yes</v>
      </c>
      <c r="AN15" s="1">
        <v>1</v>
      </c>
      <c r="AO15" s="1" t="str">
        <f t="shared" si="7"/>
        <v>Yes</v>
      </c>
      <c r="AP15" s="1" t="s">
        <v>205</v>
      </c>
      <c r="AQ15" s="1">
        <v>1</v>
      </c>
      <c r="AR15" s="1" t="str">
        <f t="shared" si="15"/>
        <v>Yes</v>
      </c>
      <c r="AS15" s="1">
        <v>1</v>
      </c>
      <c r="AT15" s="1" t="str">
        <f t="shared" si="8"/>
        <v>Yes</v>
      </c>
      <c r="AU15" s="1">
        <v>0</v>
      </c>
      <c r="AV15" s="1" t="str">
        <f t="shared" si="9"/>
        <v>No</v>
      </c>
      <c r="AW15" s="1">
        <v>0</v>
      </c>
      <c r="AX15" s="1" t="str">
        <f t="shared" si="10"/>
        <v>No</v>
      </c>
      <c r="AY15" s="1">
        <v>1</v>
      </c>
      <c r="AZ15" s="1" t="str">
        <f t="shared" si="11"/>
        <v>Yes</v>
      </c>
      <c r="BA15" s="1">
        <v>1</v>
      </c>
      <c r="BB15" s="1" t="str">
        <f t="shared" si="12"/>
        <v>Yes</v>
      </c>
      <c r="BC15" s="1">
        <v>0</v>
      </c>
      <c r="BD15" s="1" t="str">
        <f t="shared" si="13"/>
        <v>No</v>
      </c>
      <c r="BE15" s="1">
        <v>0</v>
      </c>
      <c r="BF15" s="1" t="str">
        <f t="shared" si="14"/>
        <v>No</v>
      </c>
      <c r="BG15" s="1">
        <v>1</v>
      </c>
      <c r="BH15" s="1">
        <v>2</v>
      </c>
      <c r="BI15" s="1">
        <v>2</v>
      </c>
      <c r="DM15" s="1">
        <v>558544815</v>
      </c>
      <c r="DN15" s="1" t="s">
        <v>206</v>
      </c>
      <c r="DO15" s="2">
        <v>45914.196817129632</v>
      </c>
      <c r="DR15" s="1" t="s">
        <v>121</v>
      </c>
      <c r="DT15" s="1" t="s">
        <v>139</v>
      </c>
      <c r="DV15" s="1">
        <v>16</v>
      </c>
    </row>
    <row r="16" spans="1:126" ht="14.25" customHeight="1" x14ac:dyDescent="0.3">
      <c r="A16" s="2">
        <v>45914.426672384259</v>
      </c>
      <c r="B16" s="2">
        <v>45914.436570486112</v>
      </c>
      <c r="C16" s="1">
        <v>64</v>
      </c>
      <c r="D16" s="1" t="s">
        <v>207</v>
      </c>
      <c r="E16" s="1" t="s">
        <v>208</v>
      </c>
      <c r="F16" s="1" t="s">
        <v>209</v>
      </c>
      <c r="G16" s="1">
        <v>9.9870289999999997</v>
      </c>
      <c r="H16" s="1">
        <v>76.294685000000001</v>
      </c>
      <c r="I16" s="1">
        <v>0</v>
      </c>
      <c r="J16" s="1">
        <v>0</v>
      </c>
      <c r="K16" s="1" t="s">
        <v>113</v>
      </c>
      <c r="L16" s="1" t="s">
        <v>143</v>
      </c>
      <c r="M16" s="1" t="s">
        <v>136</v>
      </c>
      <c r="N16" s="1">
        <v>74</v>
      </c>
      <c r="O16" s="1">
        <v>47</v>
      </c>
      <c r="P16" s="1">
        <v>121</v>
      </c>
      <c r="Q16" s="1">
        <v>8</v>
      </c>
      <c r="R16" s="1">
        <v>3</v>
      </c>
      <c r="S16" s="1">
        <v>3</v>
      </c>
      <c r="T16" s="1">
        <v>7</v>
      </c>
      <c r="U16" s="1">
        <v>10</v>
      </c>
      <c r="V16" s="1" t="s">
        <v>116</v>
      </c>
      <c r="X16" s="1">
        <v>3</v>
      </c>
      <c r="Y16" s="1" t="s">
        <v>210</v>
      </c>
      <c r="Z16" s="1">
        <v>1</v>
      </c>
      <c r="AA16" s="1" t="str">
        <f t="shared" si="0"/>
        <v>Yes</v>
      </c>
      <c r="AB16" s="1">
        <v>0</v>
      </c>
      <c r="AC16" s="1" t="str">
        <f t="shared" si="1"/>
        <v>No</v>
      </c>
      <c r="AD16" s="1">
        <v>0</v>
      </c>
      <c r="AE16" s="1" t="str">
        <f t="shared" si="2"/>
        <v>No</v>
      </c>
      <c r="AF16" s="1">
        <v>1</v>
      </c>
      <c r="AG16" s="1" t="str">
        <f t="shared" si="3"/>
        <v>Yes</v>
      </c>
      <c r="AH16" s="1">
        <v>0</v>
      </c>
      <c r="AI16" s="1" t="str">
        <f t="shared" si="4"/>
        <v>No</v>
      </c>
      <c r="AJ16" s="1">
        <v>1</v>
      </c>
      <c r="AK16" s="1" t="str">
        <f t="shared" si="5"/>
        <v>Yes</v>
      </c>
      <c r="AL16" s="1">
        <v>0</v>
      </c>
      <c r="AM16" s="1" t="str">
        <f t="shared" si="6"/>
        <v>No</v>
      </c>
      <c r="AN16" s="1">
        <v>0</v>
      </c>
      <c r="AO16" s="1" t="str">
        <f t="shared" si="7"/>
        <v>No</v>
      </c>
      <c r="AP16" s="1" t="s">
        <v>171</v>
      </c>
      <c r="AQ16" s="1">
        <v>1</v>
      </c>
      <c r="AR16" s="1" t="str">
        <f t="shared" si="15"/>
        <v>Yes</v>
      </c>
      <c r="AS16" s="1">
        <v>0</v>
      </c>
      <c r="AT16" s="1" t="str">
        <f t="shared" si="8"/>
        <v>No</v>
      </c>
      <c r="AU16" s="1">
        <v>0</v>
      </c>
      <c r="AV16" s="1" t="str">
        <f t="shared" si="9"/>
        <v>No</v>
      </c>
      <c r="AW16" s="1">
        <v>0</v>
      </c>
      <c r="AX16" s="1" t="str">
        <f t="shared" si="10"/>
        <v>No</v>
      </c>
      <c r="AY16" s="1">
        <v>0</v>
      </c>
      <c r="AZ16" s="1" t="str">
        <f t="shared" si="11"/>
        <v>No</v>
      </c>
      <c r="BA16" s="1">
        <v>1</v>
      </c>
      <c r="BB16" s="1" t="str">
        <f t="shared" si="12"/>
        <v>Yes</v>
      </c>
      <c r="BC16" s="1">
        <v>0</v>
      </c>
      <c r="BD16" s="1" t="str">
        <f t="shared" si="13"/>
        <v>No</v>
      </c>
      <c r="BE16" s="1">
        <v>0</v>
      </c>
      <c r="BF16" s="1" t="str">
        <f t="shared" si="14"/>
        <v>No</v>
      </c>
      <c r="BG16" s="1">
        <v>0</v>
      </c>
      <c r="BH16" s="1">
        <v>0.01</v>
      </c>
      <c r="BI16" s="1">
        <v>3.6</v>
      </c>
      <c r="DM16" s="1">
        <v>558548323</v>
      </c>
      <c r="DN16" s="1" t="s">
        <v>211</v>
      </c>
      <c r="DO16" s="2">
        <v>45914.207499999997</v>
      </c>
      <c r="DR16" s="1" t="s">
        <v>121</v>
      </c>
      <c r="DT16" s="1" t="s">
        <v>139</v>
      </c>
      <c r="DV16" s="1">
        <v>17</v>
      </c>
    </row>
    <row r="17" spans="1:126" ht="14.25" customHeight="1" x14ac:dyDescent="0.3">
      <c r="A17" s="2">
        <v>45914.436570752317</v>
      </c>
      <c r="B17" s="2">
        <v>45914.438946956019</v>
      </c>
      <c r="C17" s="1">
        <v>64</v>
      </c>
      <c r="D17" s="1" t="s">
        <v>207</v>
      </c>
      <c r="E17" s="1" t="s">
        <v>212</v>
      </c>
      <c r="F17" s="1" t="s">
        <v>213</v>
      </c>
      <c r="G17" s="1">
        <v>9.9862889999999993</v>
      </c>
      <c r="H17" s="1">
        <v>76.295457999999996</v>
      </c>
      <c r="I17" s="1">
        <v>0</v>
      </c>
      <c r="J17" s="1">
        <v>0</v>
      </c>
      <c r="K17" s="1" t="s">
        <v>113</v>
      </c>
      <c r="L17" s="1" t="s">
        <v>163</v>
      </c>
      <c r="M17" s="1" t="s">
        <v>115</v>
      </c>
      <c r="N17" s="1">
        <v>261</v>
      </c>
      <c r="O17" s="1">
        <v>173</v>
      </c>
      <c r="P17" s="1">
        <v>434</v>
      </c>
      <c r="Q17" s="1">
        <v>16</v>
      </c>
      <c r="R17" s="1">
        <v>14</v>
      </c>
      <c r="S17" s="1">
        <v>14</v>
      </c>
      <c r="T17" s="1">
        <v>22</v>
      </c>
      <c r="U17" s="1">
        <v>12</v>
      </c>
      <c r="V17" s="1" t="s">
        <v>116</v>
      </c>
      <c r="W17" s="1" t="s">
        <v>214</v>
      </c>
      <c r="X17" s="1">
        <v>3</v>
      </c>
      <c r="Y17" s="1" t="s">
        <v>215</v>
      </c>
      <c r="Z17" s="1">
        <v>1</v>
      </c>
      <c r="AA17" s="1" t="str">
        <f t="shared" si="0"/>
        <v>Yes</v>
      </c>
      <c r="AB17" s="1">
        <v>1</v>
      </c>
      <c r="AC17" s="1" t="str">
        <f t="shared" si="1"/>
        <v>Yes</v>
      </c>
      <c r="AD17" s="1">
        <v>1</v>
      </c>
      <c r="AE17" s="1" t="str">
        <f t="shared" si="2"/>
        <v>Yes</v>
      </c>
      <c r="AF17" s="1">
        <v>1</v>
      </c>
      <c r="AG17" s="1" t="str">
        <f t="shared" si="3"/>
        <v>Yes</v>
      </c>
      <c r="AH17" s="1">
        <v>0</v>
      </c>
      <c r="AI17" s="1" t="str">
        <f t="shared" si="4"/>
        <v>No</v>
      </c>
      <c r="AJ17" s="1">
        <v>1</v>
      </c>
      <c r="AK17" s="1" t="str">
        <f t="shared" si="5"/>
        <v>Yes</v>
      </c>
      <c r="AL17" s="1">
        <v>1</v>
      </c>
      <c r="AM17" s="1" t="str">
        <f t="shared" si="6"/>
        <v>Yes</v>
      </c>
      <c r="AN17" s="1">
        <v>0</v>
      </c>
      <c r="AO17" s="1" t="str">
        <f t="shared" si="7"/>
        <v>No</v>
      </c>
      <c r="AP17" s="1" t="s">
        <v>153</v>
      </c>
      <c r="AQ17" s="1">
        <v>1</v>
      </c>
      <c r="AR17" s="1" t="str">
        <f t="shared" si="15"/>
        <v>Yes</v>
      </c>
      <c r="AS17" s="1">
        <v>1</v>
      </c>
      <c r="AT17" s="1" t="str">
        <f t="shared" si="8"/>
        <v>Yes</v>
      </c>
      <c r="AU17" s="1">
        <v>0</v>
      </c>
      <c r="AV17" s="1" t="str">
        <f t="shared" si="9"/>
        <v>No</v>
      </c>
      <c r="AW17" s="1">
        <v>0</v>
      </c>
      <c r="AX17" s="1" t="str">
        <f t="shared" si="10"/>
        <v>No</v>
      </c>
      <c r="AY17" s="1">
        <v>0</v>
      </c>
      <c r="AZ17" s="1" t="str">
        <f t="shared" si="11"/>
        <v>No</v>
      </c>
      <c r="BA17" s="1">
        <v>1</v>
      </c>
      <c r="BB17" s="1" t="str">
        <f t="shared" si="12"/>
        <v>Yes</v>
      </c>
      <c r="BC17" s="1">
        <v>0</v>
      </c>
      <c r="BD17" s="1" t="str">
        <f t="shared" si="13"/>
        <v>No</v>
      </c>
      <c r="BE17" s="1">
        <v>0</v>
      </c>
      <c r="BF17" s="1" t="str">
        <f t="shared" si="14"/>
        <v>No</v>
      </c>
      <c r="BG17" s="1">
        <v>1</v>
      </c>
      <c r="BH17" s="1">
        <v>0.05</v>
      </c>
      <c r="BI17" s="1">
        <v>3.6</v>
      </c>
      <c r="DM17" s="1">
        <v>558549156</v>
      </c>
      <c r="DN17" s="1" t="s">
        <v>216</v>
      </c>
      <c r="DO17" s="2">
        <v>45914.20988425926</v>
      </c>
      <c r="DR17" s="1" t="s">
        <v>121</v>
      </c>
      <c r="DT17" s="1" t="s">
        <v>139</v>
      </c>
      <c r="DV17" s="1">
        <v>18</v>
      </c>
    </row>
    <row r="18" spans="1:126" ht="14.25" customHeight="1" x14ac:dyDescent="0.3">
      <c r="A18" s="2">
        <v>45915.462533043981</v>
      </c>
      <c r="B18" s="2">
        <v>45915.5014553125</v>
      </c>
      <c r="C18" s="1">
        <v>73</v>
      </c>
      <c r="D18" s="1" t="s">
        <v>217</v>
      </c>
      <c r="E18" s="1" t="s">
        <v>218</v>
      </c>
      <c r="F18" s="1" t="s">
        <v>219</v>
      </c>
      <c r="G18" s="1">
        <v>10.009703</v>
      </c>
      <c r="H18" s="1">
        <v>76.278626000000003</v>
      </c>
      <c r="I18" s="1">
        <v>-73.900001525878906</v>
      </c>
      <c r="J18" s="1">
        <v>14.80700016021729</v>
      </c>
      <c r="K18" s="1" t="s">
        <v>142</v>
      </c>
      <c r="L18" s="1" t="s">
        <v>191</v>
      </c>
      <c r="M18" s="1" t="s">
        <v>136</v>
      </c>
      <c r="N18" s="1">
        <v>10</v>
      </c>
      <c r="O18" s="1">
        <v>8</v>
      </c>
      <c r="P18" s="1">
        <v>18</v>
      </c>
      <c r="Q18" s="1">
        <v>2</v>
      </c>
      <c r="R18" s="1">
        <v>2</v>
      </c>
      <c r="S18" s="1">
        <v>0</v>
      </c>
      <c r="T18" s="1">
        <v>0</v>
      </c>
      <c r="U18" s="1">
        <v>1</v>
      </c>
      <c r="V18" s="1" t="s">
        <v>116</v>
      </c>
      <c r="W18" s="1" t="s">
        <v>220</v>
      </c>
      <c r="X18" s="1">
        <v>2</v>
      </c>
      <c r="Y18" s="1" t="s">
        <v>221</v>
      </c>
      <c r="Z18" s="1">
        <v>0</v>
      </c>
      <c r="AA18" s="1" t="str">
        <f t="shared" si="0"/>
        <v>No</v>
      </c>
      <c r="AB18" s="1">
        <v>0</v>
      </c>
      <c r="AC18" s="1" t="str">
        <f t="shared" si="1"/>
        <v>No</v>
      </c>
      <c r="AD18" s="1">
        <v>1</v>
      </c>
      <c r="AE18" s="1" t="str">
        <f t="shared" si="2"/>
        <v>Yes</v>
      </c>
      <c r="AF18" s="1">
        <v>0</v>
      </c>
      <c r="AG18" s="1" t="str">
        <f t="shared" si="3"/>
        <v>No</v>
      </c>
      <c r="AH18" s="1">
        <v>0</v>
      </c>
      <c r="AI18" s="1" t="str">
        <f t="shared" si="4"/>
        <v>No</v>
      </c>
      <c r="AJ18" s="1">
        <v>1</v>
      </c>
      <c r="AK18" s="1" t="str">
        <f t="shared" si="5"/>
        <v>Yes</v>
      </c>
      <c r="AL18" s="1">
        <v>0</v>
      </c>
      <c r="AM18" s="1" t="str">
        <f t="shared" si="6"/>
        <v>No</v>
      </c>
      <c r="AN18" s="1">
        <v>1</v>
      </c>
      <c r="AO18" s="1" t="str">
        <f t="shared" si="7"/>
        <v>Yes</v>
      </c>
      <c r="AP18" s="1" t="s">
        <v>222</v>
      </c>
      <c r="AQ18" s="1">
        <v>0</v>
      </c>
      <c r="AR18" s="1" t="str">
        <f t="shared" si="15"/>
        <v>No</v>
      </c>
      <c r="AS18" s="1">
        <v>0</v>
      </c>
      <c r="AT18" s="1" t="str">
        <f t="shared" si="8"/>
        <v>No</v>
      </c>
      <c r="AU18" s="1">
        <v>1</v>
      </c>
      <c r="AV18" s="1" t="str">
        <f t="shared" si="9"/>
        <v>Yes</v>
      </c>
      <c r="AW18" s="1">
        <v>0</v>
      </c>
      <c r="AX18" s="1" t="str">
        <f t="shared" si="10"/>
        <v>No</v>
      </c>
      <c r="AY18" s="1">
        <v>0</v>
      </c>
      <c r="AZ18" s="1" t="str">
        <f t="shared" si="11"/>
        <v>No</v>
      </c>
      <c r="BA18" s="1">
        <v>0</v>
      </c>
      <c r="BB18" s="1" t="str">
        <f t="shared" si="12"/>
        <v>No</v>
      </c>
      <c r="BC18" s="1">
        <v>0</v>
      </c>
      <c r="BD18" s="1" t="str">
        <f t="shared" si="13"/>
        <v>No</v>
      </c>
      <c r="BE18" s="1">
        <v>0</v>
      </c>
      <c r="BF18" s="1" t="str">
        <f t="shared" si="14"/>
        <v>No</v>
      </c>
      <c r="BG18" s="1">
        <v>0</v>
      </c>
      <c r="BH18" s="1">
        <v>0.2</v>
      </c>
      <c r="BI18" s="1">
        <v>1.3</v>
      </c>
      <c r="DM18" s="1">
        <v>559091346</v>
      </c>
      <c r="DN18" s="1" t="s">
        <v>223</v>
      </c>
      <c r="DO18" s="2">
        <v>45915.272291666668</v>
      </c>
      <c r="DR18" s="1" t="s">
        <v>121</v>
      </c>
      <c r="DT18" s="1" t="s">
        <v>139</v>
      </c>
      <c r="DV18" s="1">
        <v>19</v>
      </c>
    </row>
    <row r="19" spans="1:126" ht="14.25" customHeight="1" x14ac:dyDescent="0.3">
      <c r="A19" s="2">
        <v>45915.99201765046</v>
      </c>
      <c r="B19" s="2">
        <v>45915.999065405093</v>
      </c>
      <c r="C19" s="1">
        <v>73</v>
      </c>
      <c r="D19" s="1" t="s">
        <v>217</v>
      </c>
      <c r="E19" s="1" t="s">
        <v>224</v>
      </c>
      <c r="F19" s="1" t="s">
        <v>225</v>
      </c>
      <c r="G19" s="1">
        <v>10.009</v>
      </c>
      <c r="H19" s="1">
        <v>76.278599999999997</v>
      </c>
      <c r="I19" s="1">
        <v>0</v>
      </c>
      <c r="J19" s="1">
        <v>0</v>
      </c>
      <c r="K19" s="1" t="s">
        <v>113</v>
      </c>
      <c r="L19" s="1" t="s">
        <v>163</v>
      </c>
      <c r="M19" s="1" t="s">
        <v>115</v>
      </c>
      <c r="N19" s="1">
        <v>46</v>
      </c>
      <c r="O19" s="1">
        <v>27</v>
      </c>
      <c r="P19" s="1">
        <v>73</v>
      </c>
      <c r="Q19" s="1">
        <v>7</v>
      </c>
      <c r="R19" s="1">
        <v>7</v>
      </c>
      <c r="S19" s="1">
        <v>7</v>
      </c>
      <c r="T19" s="1">
        <v>7</v>
      </c>
      <c r="U19" s="1">
        <v>10</v>
      </c>
      <c r="V19" s="1" t="s">
        <v>116</v>
      </c>
      <c r="W19" s="1" t="s">
        <v>226</v>
      </c>
      <c r="X19" s="1">
        <v>7</v>
      </c>
      <c r="Y19" s="1" t="s">
        <v>227</v>
      </c>
      <c r="Z19" s="1">
        <v>1</v>
      </c>
      <c r="AA19" s="1" t="str">
        <f t="shared" si="0"/>
        <v>Yes</v>
      </c>
      <c r="AB19" s="1">
        <v>0</v>
      </c>
      <c r="AC19" s="1" t="str">
        <f t="shared" si="1"/>
        <v>No</v>
      </c>
      <c r="AD19" s="1">
        <v>1</v>
      </c>
      <c r="AE19" s="1" t="str">
        <f t="shared" si="2"/>
        <v>Yes</v>
      </c>
      <c r="AF19" s="1">
        <v>0</v>
      </c>
      <c r="AG19" s="1" t="str">
        <f t="shared" si="3"/>
        <v>No</v>
      </c>
      <c r="AH19" s="1">
        <v>0</v>
      </c>
      <c r="AI19" s="1" t="str">
        <f t="shared" si="4"/>
        <v>No</v>
      </c>
      <c r="AJ19" s="1">
        <v>0</v>
      </c>
      <c r="AK19" s="1" t="str">
        <f t="shared" si="5"/>
        <v>No</v>
      </c>
      <c r="AL19" s="1">
        <v>0</v>
      </c>
      <c r="AM19" s="1" t="str">
        <f t="shared" si="6"/>
        <v>No</v>
      </c>
      <c r="AN19" s="1">
        <v>0</v>
      </c>
      <c r="AO19" s="1" t="str">
        <f t="shared" si="7"/>
        <v>No</v>
      </c>
      <c r="AP19" s="1" t="s">
        <v>165</v>
      </c>
      <c r="AQ19" s="1">
        <v>0</v>
      </c>
      <c r="AR19" s="1" t="str">
        <f t="shared" si="15"/>
        <v>No</v>
      </c>
      <c r="AS19" s="1">
        <v>0</v>
      </c>
      <c r="AT19" s="1" t="str">
        <f t="shared" si="8"/>
        <v>No</v>
      </c>
      <c r="AU19" s="1">
        <v>0</v>
      </c>
      <c r="AV19" s="1" t="str">
        <f t="shared" si="9"/>
        <v>No</v>
      </c>
      <c r="AW19" s="1">
        <v>0</v>
      </c>
      <c r="AX19" s="1" t="str">
        <f t="shared" si="10"/>
        <v>No</v>
      </c>
      <c r="AY19" s="1">
        <v>0</v>
      </c>
      <c r="AZ19" s="1" t="str">
        <f t="shared" si="11"/>
        <v>No</v>
      </c>
      <c r="BA19" s="1">
        <v>1</v>
      </c>
      <c r="BB19" s="1" t="str">
        <f t="shared" si="12"/>
        <v>Yes</v>
      </c>
      <c r="BC19" s="1">
        <v>0</v>
      </c>
      <c r="BD19" s="1" t="str">
        <f t="shared" si="13"/>
        <v>No</v>
      </c>
      <c r="BE19" s="1">
        <v>0</v>
      </c>
      <c r="BF19" s="1" t="str">
        <f t="shared" si="14"/>
        <v>No</v>
      </c>
      <c r="BG19" s="1">
        <v>0</v>
      </c>
      <c r="BH19" s="1">
        <v>0.01</v>
      </c>
      <c r="BI19" s="1">
        <v>1.3</v>
      </c>
      <c r="DM19" s="1">
        <v>559661698</v>
      </c>
      <c r="DN19" s="1" t="s">
        <v>228</v>
      </c>
      <c r="DO19" s="2">
        <v>45915.769907407397</v>
      </c>
      <c r="DR19" s="1" t="s">
        <v>121</v>
      </c>
      <c r="DT19" s="1" t="s">
        <v>139</v>
      </c>
      <c r="DV19" s="1">
        <v>20</v>
      </c>
    </row>
    <row r="20" spans="1:126" ht="14.25" customHeight="1" x14ac:dyDescent="0.3">
      <c r="A20" s="2">
        <v>45911.451180555552</v>
      </c>
      <c r="B20" s="2">
        <v>45916.002946192129</v>
      </c>
      <c r="C20" s="1">
        <v>64</v>
      </c>
      <c r="D20" s="1" t="s">
        <v>207</v>
      </c>
      <c r="E20" s="1" t="s">
        <v>229</v>
      </c>
      <c r="F20" s="1" t="s">
        <v>230</v>
      </c>
      <c r="G20" s="1">
        <v>9.9875799999999995</v>
      </c>
      <c r="H20" s="1">
        <v>76.292860000000005</v>
      </c>
      <c r="I20" s="1">
        <v>0</v>
      </c>
      <c r="J20" s="1">
        <v>0</v>
      </c>
      <c r="K20" s="1" t="s">
        <v>134</v>
      </c>
      <c r="L20" s="1" t="s">
        <v>135</v>
      </c>
      <c r="M20" s="1" t="s">
        <v>136</v>
      </c>
      <c r="N20" s="1">
        <v>340</v>
      </c>
      <c r="O20" s="1">
        <v>302</v>
      </c>
      <c r="P20" s="1">
        <v>642</v>
      </c>
      <c r="Q20" s="1">
        <v>20</v>
      </c>
      <c r="R20" s="1">
        <v>30</v>
      </c>
      <c r="S20" s="1">
        <v>24</v>
      </c>
      <c r="T20" s="1">
        <v>1</v>
      </c>
      <c r="U20" s="1">
        <v>4</v>
      </c>
      <c r="V20" s="1" t="s">
        <v>116</v>
      </c>
      <c r="W20" s="1" t="s">
        <v>231</v>
      </c>
      <c r="X20" s="1">
        <v>23</v>
      </c>
      <c r="Y20" s="1" t="s">
        <v>232</v>
      </c>
      <c r="Z20" s="1">
        <v>1</v>
      </c>
      <c r="AA20" s="1" t="str">
        <f t="shared" si="0"/>
        <v>Yes</v>
      </c>
      <c r="AB20" s="1">
        <v>0</v>
      </c>
      <c r="AC20" s="1" t="str">
        <f t="shared" si="1"/>
        <v>No</v>
      </c>
      <c r="AD20" s="1">
        <v>1</v>
      </c>
      <c r="AE20" s="1" t="str">
        <f t="shared" si="2"/>
        <v>Yes</v>
      </c>
      <c r="AF20" s="1">
        <v>1</v>
      </c>
      <c r="AG20" s="1" t="str">
        <f t="shared" si="3"/>
        <v>Yes</v>
      </c>
      <c r="AH20" s="1">
        <v>1</v>
      </c>
      <c r="AI20" s="1" t="str">
        <f t="shared" si="4"/>
        <v>Yes</v>
      </c>
      <c r="AJ20" s="1">
        <v>1</v>
      </c>
      <c r="AK20" s="1" t="str">
        <f t="shared" si="5"/>
        <v>Yes</v>
      </c>
      <c r="AL20" s="1">
        <v>1</v>
      </c>
      <c r="AM20" s="1" t="str">
        <f t="shared" si="6"/>
        <v>Yes</v>
      </c>
      <c r="AN20" s="1">
        <v>0</v>
      </c>
      <c r="AO20" s="1" t="str">
        <f t="shared" si="7"/>
        <v>No</v>
      </c>
      <c r="AP20" s="1" t="s">
        <v>233</v>
      </c>
      <c r="AQ20" s="1">
        <v>0</v>
      </c>
      <c r="AR20" s="1" t="str">
        <f t="shared" si="15"/>
        <v>No</v>
      </c>
      <c r="AS20" s="1">
        <v>0</v>
      </c>
      <c r="AT20" s="1" t="str">
        <f t="shared" si="8"/>
        <v>No</v>
      </c>
      <c r="AU20" s="1">
        <v>1</v>
      </c>
      <c r="AV20" s="1" t="str">
        <f t="shared" si="9"/>
        <v>Yes</v>
      </c>
      <c r="AW20" s="1">
        <v>0</v>
      </c>
      <c r="AX20" s="1" t="str">
        <f t="shared" si="10"/>
        <v>No</v>
      </c>
      <c r="AY20" s="1">
        <v>1</v>
      </c>
      <c r="AZ20" s="1" t="str">
        <f t="shared" si="11"/>
        <v>Yes</v>
      </c>
      <c r="BA20" s="1">
        <v>1</v>
      </c>
      <c r="BB20" s="1" t="str">
        <f t="shared" si="12"/>
        <v>Yes</v>
      </c>
      <c r="BC20" s="1">
        <v>0</v>
      </c>
      <c r="BD20" s="1" t="str">
        <f t="shared" si="13"/>
        <v>No</v>
      </c>
      <c r="BE20" s="1">
        <v>0</v>
      </c>
      <c r="BF20" s="1" t="str">
        <f t="shared" si="14"/>
        <v>No</v>
      </c>
      <c r="BG20" s="1">
        <v>5</v>
      </c>
      <c r="BH20" s="1">
        <v>0.5</v>
      </c>
      <c r="BI20" s="1">
        <v>4</v>
      </c>
      <c r="DM20" s="1">
        <v>559664328</v>
      </c>
      <c r="DN20" s="1" t="s">
        <v>234</v>
      </c>
      <c r="DO20" s="2">
        <v>45915.773796296293</v>
      </c>
      <c r="DR20" s="1" t="s">
        <v>121</v>
      </c>
      <c r="DT20" s="1" t="s">
        <v>139</v>
      </c>
      <c r="DV20" s="1">
        <v>21</v>
      </c>
    </row>
    <row r="21" spans="1:126" ht="14.25" customHeight="1" x14ac:dyDescent="0.3">
      <c r="A21" s="2">
        <v>45914.509442152783</v>
      </c>
      <c r="B21" s="2">
        <v>45916.014917800923</v>
      </c>
      <c r="C21" s="1">
        <v>28</v>
      </c>
      <c r="D21" s="1" t="s">
        <v>235</v>
      </c>
      <c r="E21" s="1" t="s">
        <v>236</v>
      </c>
      <c r="F21" s="1" t="s">
        <v>237</v>
      </c>
      <c r="G21" s="1">
        <v>9.9507440000000003</v>
      </c>
      <c r="H21" s="1">
        <v>76.244861</v>
      </c>
      <c r="I21" s="1">
        <v>17.809999999999999</v>
      </c>
      <c r="J21" s="1">
        <v>54.35</v>
      </c>
      <c r="K21" s="1" t="s">
        <v>113</v>
      </c>
      <c r="L21" s="1" t="s">
        <v>135</v>
      </c>
      <c r="M21" s="1" t="s">
        <v>151</v>
      </c>
      <c r="N21" s="1">
        <v>609</v>
      </c>
      <c r="O21" s="1">
        <v>454</v>
      </c>
      <c r="P21" s="1">
        <v>1063</v>
      </c>
      <c r="Q21" s="1">
        <v>48</v>
      </c>
      <c r="R21" s="1">
        <v>25</v>
      </c>
      <c r="S21" s="1">
        <v>16</v>
      </c>
      <c r="T21" s="1">
        <v>80</v>
      </c>
      <c r="U21" s="1">
        <v>40</v>
      </c>
      <c r="V21" s="1" t="s">
        <v>116</v>
      </c>
      <c r="W21" s="1" t="s">
        <v>238</v>
      </c>
      <c r="X21" s="1">
        <v>25</v>
      </c>
      <c r="Y21" s="1" t="s">
        <v>239</v>
      </c>
      <c r="Z21" s="1">
        <v>0</v>
      </c>
      <c r="AA21" s="1" t="str">
        <f t="shared" si="0"/>
        <v>No</v>
      </c>
      <c r="AB21" s="1">
        <v>0</v>
      </c>
      <c r="AC21" s="1" t="str">
        <f t="shared" si="1"/>
        <v>No</v>
      </c>
      <c r="AD21" s="1">
        <v>1</v>
      </c>
      <c r="AE21" s="1" t="str">
        <f t="shared" si="2"/>
        <v>Yes</v>
      </c>
      <c r="AF21" s="1">
        <v>1</v>
      </c>
      <c r="AG21" s="1" t="str">
        <f t="shared" si="3"/>
        <v>Yes</v>
      </c>
      <c r="AH21" s="1">
        <v>0</v>
      </c>
      <c r="AI21" s="1" t="str">
        <f t="shared" si="4"/>
        <v>No</v>
      </c>
      <c r="AJ21" s="1">
        <v>0</v>
      </c>
      <c r="AK21" s="1" t="str">
        <f t="shared" si="5"/>
        <v>No</v>
      </c>
      <c r="AL21" s="1">
        <v>0</v>
      </c>
      <c r="AM21" s="1" t="str">
        <f t="shared" si="6"/>
        <v>No</v>
      </c>
      <c r="AN21" s="1">
        <v>0</v>
      </c>
      <c r="AO21" s="1" t="str">
        <f t="shared" si="7"/>
        <v>No</v>
      </c>
      <c r="AP21" s="1" t="s">
        <v>165</v>
      </c>
      <c r="AQ21" s="1">
        <v>0</v>
      </c>
      <c r="AR21" s="1" t="str">
        <f t="shared" si="15"/>
        <v>No</v>
      </c>
      <c r="AS21" s="1">
        <v>0</v>
      </c>
      <c r="AT21" s="1" t="str">
        <f t="shared" si="8"/>
        <v>No</v>
      </c>
      <c r="AU21" s="1">
        <v>0</v>
      </c>
      <c r="AV21" s="1" t="str">
        <f t="shared" si="9"/>
        <v>No</v>
      </c>
      <c r="AW21" s="1">
        <v>0</v>
      </c>
      <c r="AX21" s="1" t="str">
        <f t="shared" si="10"/>
        <v>No</v>
      </c>
      <c r="AY21" s="1">
        <v>0</v>
      </c>
      <c r="AZ21" s="1" t="str">
        <f t="shared" si="11"/>
        <v>No</v>
      </c>
      <c r="BA21" s="1">
        <v>1</v>
      </c>
      <c r="BB21" s="1" t="str">
        <f t="shared" si="12"/>
        <v>Yes</v>
      </c>
      <c r="BC21" s="1">
        <v>0</v>
      </c>
      <c r="BD21" s="1" t="str">
        <f t="shared" si="13"/>
        <v>No</v>
      </c>
      <c r="BE21" s="1">
        <v>0</v>
      </c>
      <c r="BF21" s="1" t="str">
        <f t="shared" si="14"/>
        <v>No</v>
      </c>
      <c r="BG21" s="1">
        <v>0</v>
      </c>
      <c r="BH21" s="1">
        <v>150</v>
      </c>
      <c r="BI21" s="1">
        <v>1.5</v>
      </c>
      <c r="DM21" s="1">
        <v>559672507</v>
      </c>
      <c r="DN21" s="1" t="s">
        <v>240</v>
      </c>
      <c r="DO21" s="2">
        <v>45915.785787037043</v>
      </c>
      <c r="DR21" s="1" t="s">
        <v>121</v>
      </c>
      <c r="DT21" s="1" t="s">
        <v>139</v>
      </c>
      <c r="DV21" s="1">
        <v>22</v>
      </c>
    </row>
    <row r="22" spans="1:126" ht="14.25" customHeight="1" x14ac:dyDescent="0.3">
      <c r="A22" s="2">
        <v>45916.015999918978</v>
      </c>
      <c r="B22" s="2">
        <v>45916.400774652779</v>
      </c>
      <c r="C22" s="1">
        <v>59</v>
      </c>
      <c r="D22" s="1" t="s">
        <v>173</v>
      </c>
      <c r="E22" s="1" t="s">
        <v>241</v>
      </c>
      <c r="F22" s="1" t="s">
        <v>242</v>
      </c>
      <c r="G22" s="1">
        <v>9.9288271911148485</v>
      </c>
      <c r="H22" s="1">
        <v>76.303646000542685</v>
      </c>
      <c r="I22" s="1">
        <v>0</v>
      </c>
      <c r="J22" s="1">
        <v>0</v>
      </c>
      <c r="K22" s="1" t="s">
        <v>113</v>
      </c>
      <c r="L22" s="1" t="s">
        <v>143</v>
      </c>
      <c r="M22" s="1" t="s">
        <v>151</v>
      </c>
      <c r="N22" s="1">
        <v>68</v>
      </c>
      <c r="O22" s="1">
        <v>37</v>
      </c>
      <c r="P22" s="1">
        <v>105</v>
      </c>
      <c r="Q22" s="1">
        <v>10</v>
      </c>
      <c r="R22" s="1">
        <v>2</v>
      </c>
      <c r="S22" s="1">
        <v>1</v>
      </c>
      <c r="T22" s="1">
        <v>0</v>
      </c>
      <c r="U22" s="1">
        <v>7</v>
      </c>
      <c r="V22" s="1" t="s">
        <v>116</v>
      </c>
      <c r="W22" s="1" t="s">
        <v>243</v>
      </c>
      <c r="X22" s="1">
        <v>4</v>
      </c>
      <c r="Y22" s="1" t="s">
        <v>227</v>
      </c>
      <c r="Z22" s="1">
        <v>1</v>
      </c>
      <c r="AA22" s="1" t="str">
        <f t="shared" si="0"/>
        <v>Yes</v>
      </c>
      <c r="AB22" s="1">
        <v>0</v>
      </c>
      <c r="AC22" s="1" t="str">
        <f t="shared" si="1"/>
        <v>No</v>
      </c>
      <c r="AD22" s="1">
        <v>1</v>
      </c>
      <c r="AE22" s="1" t="str">
        <f t="shared" si="2"/>
        <v>Yes</v>
      </c>
      <c r="AF22" s="1">
        <v>0</v>
      </c>
      <c r="AG22" s="1" t="str">
        <f t="shared" si="3"/>
        <v>No</v>
      </c>
      <c r="AH22" s="1">
        <v>0</v>
      </c>
      <c r="AI22" s="1" t="str">
        <f t="shared" si="4"/>
        <v>No</v>
      </c>
      <c r="AJ22" s="1">
        <v>0</v>
      </c>
      <c r="AK22" s="1" t="str">
        <f t="shared" si="5"/>
        <v>No</v>
      </c>
      <c r="AL22" s="1">
        <v>0</v>
      </c>
      <c r="AM22" s="1" t="str">
        <f t="shared" si="6"/>
        <v>No</v>
      </c>
      <c r="AN22" s="1">
        <v>0</v>
      </c>
      <c r="AO22" s="1" t="str">
        <f t="shared" si="7"/>
        <v>No</v>
      </c>
      <c r="AP22" s="1" t="s">
        <v>165</v>
      </c>
      <c r="AQ22" s="1">
        <v>0</v>
      </c>
      <c r="AR22" s="1" t="str">
        <f t="shared" si="15"/>
        <v>No</v>
      </c>
      <c r="AS22" s="1">
        <v>0</v>
      </c>
      <c r="AT22" s="1" t="str">
        <f t="shared" si="8"/>
        <v>No</v>
      </c>
      <c r="AU22" s="1">
        <v>0</v>
      </c>
      <c r="AV22" s="1" t="str">
        <f t="shared" si="9"/>
        <v>No</v>
      </c>
      <c r="AW22" s="1">
        <v>0</v>
      </c>
      <c r="AX22" s="1" t="str">
        <f t="shared" si="10"/>
        <v>No</v>
      </c>
      <c r="AY22" s="1">
        <v>0</v>
      </c>
      <c r="AZ22" s="1" t="str">
        <f t="shared" si="11"/>
        <v>No</v>
      </c>
      <c r="BA22" s="1">
        <v>1</v>
      </c>
      <c r="BB22" s="1" t="str">
        <f t="shared" si="12"/>
        <v>Yes</v>
      </c>
      <c r="BC22" s="1">
        <v>0</v>
      </c>
      <c r="BD22" s="1" t="str">
        <f t="shared" si="13"/>
        <v>No</v>
      </c>
      <c r="BE22" s="1">
        <v>0</v>
      </c>
      <c r="BF22" s="1" t="str">
        <f t="shared" si="14"/>
        <v>No</v>
      </c>
      <c r="BG22" s="1">
        <v>0</v>
      </c>
      <c r="BH22" s="1">
        <v>0.01</v>
      </c>
      <c r="BI22" s="1">
        <v>1.6</v>
      </c>
      <c r="DM22" s="1">
        <v>559678659</v>
      </c>
      <c r="DN22" s="1" t="s">
        <v>244</v>
      </c>
      <c r="DO22" s="2">
        <v>45915.795300925929</v>
      </c>
      <c r="DR22" s="1" t="s">
        <v>121</v>
      </c>
      <c r="DT22" s="1" t="s">
        <v>139</v>
      </c>
      <c r="DV22" s="1">
        <v>23</v>
      </c>
    </row>
    <row r="23" spans="1:126" ht="14.25" customHeight="1" x14ac:dyDescent="0.3">
      <c r="A23" s="2">
        <v>45914.409162129632</v>
      </c>
      <c r="B23" s="2">
        <v>45916.033165659719</v>
      </c>
      <c r="C23" s="1">
        <v>59</v>
      </c>
      <c r="D23" s="1" t="s">
        <v>173</v>
      </c>
      <c r="E23" s="1" t="s">
        <v>245</v>
      </c>
      <c r="F23" s="1" t="s">
        <v>246</v>
      </c>
      <c r="G23" s="1">
        <v>9.928818885039238</v>
      </c>
      <c r="H23" s="1">
        <v>76.303678553058518</v>
      </c>
      <c r="I23" s="1">
        <v>0</v>
      </c>
      <c r="J23" s="1">
        <v>0</v>
      </c>
      <c r="K23" s="1" t="s">
        <v>113</v>
      </c>
      <c r="L23" s="1" t="s">
        <v>143</v>
      </c>
      <c r="M23" s="1" t="s">
        <v>151</v>
      </c>
      <c r="N23" s="1">
        <v>24</v>
      </c>
      <c r="O23" s="1">
        <v>0</v>
      </c>
      <c r="P23" s="1">
        <v>24</v>
      </c>
      <c r="Q23" s="1">
        <v>6</v>
      </c>
      <c r="R23" s="1">
        <v>3</v>
      </c>
      <c r="S23" s="1">
        <v>3</v>
      </c>
      <c r="T23" s="1">
        <v>6</v>
      </c>
      <c r="U23" s="1">
        <v>11</v>
      </c>
      <c r="V23" s="1" t="s">
        <v>116</v>
      </c>
      <c r="W23" s="1" t="s">
        <v>247</v>
      </c>
      <c r="X23" s="1">
        <v>3</v>
      </c>
      <c r="Y23" s="1" t="s">
        <v>248</v>
      </c>
      <c r="Z23" s="1">
        <v>0</v>
      </c>
      <c r="AA23" s="1" t="str">
        <f t="shared" si="0"/>
        <v>No</v>
      </c>
      <c r="AB23" s="1">
        <v>0</v>
      </c>
      <c r="AC23" s="1" t="str">
        <f t="shared" si="1"/>
        <v>No</v>
      </c>
      <c r="AD23" s="1">
        <v>0</v>
      </c>
      <c r="AE23" s="1" t="str">
        <f t="shared" si="2"/>
        <v>No</v>
      </c>
      <c r="AF23" s="1">
        <v>0</v>
      </c>
      <c r="AG23" s="1" t="str">
        <f t="shared" si="3"/>
        <v>No</v>
      </c>
      <c r="AH23" s="1">
        <v>0</v>
      </c>
      <c r="AI23" s="1" t="str">
        <f t="shared" si="4"/>
        <v>No</v>
      </c>
      <c r="AJ23" s="1">
        <v>0</v>
      </c>
      <c r="AK23" s="1" t="str">
        <f t="shared" si="5"/>
        <v>No</v>
      </c>
      <c r="AL23" s="1">
        <v>0</v>
      </c>
      <c r="AM23" s="1" t="str">
        <f t="shared" si="6"/>
        <v>No</v>
      </c>
      <c r="AN23" s="1">
        <v>1</v>
      </c>
      <c r="AO23" s="1" t="str">
        <f t="shared" si="7"/>
        <v>Yes</v>
      </c>
      <c r="AP23" s="1" t="s">
        <v>153</v>
      </c>
      <c r="AQ23" s="1">
        <v>1</v>
      </c>
      <c r="AR23" s="1" t="str">
        <f t="shared" si="15"/>
        <v>Yes</v>
      </c>
      <c r="AS23" s="1">
        <v>1</v>
      </c>
      <c r="AT23" s="1" t="str">
        <f t="shared" si="8"/>
        <v>Yes</v>
      </c>
      <c r="AU23" s="1">
        <v>0</v>
      </c>
      <c r="AV23" s="1" t="str">
        <f t="shared" si="9"/>
        <v>No</v>
      </c>
      <c r="AW23" s="1">
        <v>0</v>
      </c>
      <c r="AX23" s="1" t="str">
        <f t="shared" si="10"/>
        <v>No</v>
      </c>
      <c r="AY23" s="1">
        <v>0</v>
      </c>
      <c r="AZ23" s="1" t="str">
        <f t="shared" si="11"/>
        <v>No</v>
      </c>
      <c r="BA23" s="1">
        <v>1</v>
      </c>
      <c r="BB23" s="1" t="str">
        <f t="shared" si="12"/>
        <v>Yes</v>
      </c>
      <c r="BC23" s="1">
        <v>0</v>
      </c>
      <c r="BD23" s="1" t="str">
        <f t="shared" si="13"/>
        <v>No</v>
      </c>
      <c r="BE23" s="1">
        <v>0</v>
      </c>
      <c r="BF23" s="1" t="str">
        <f t="shared" si="14"/>
        <v>No</v>
      </c>
      <c r="BG23" s="1">
        <v>0</v>
      </c>
      <c r="BH23" s="1">
        <v>0.8</v>
      </c>
      <c r="BI23" s="1">
        <v>0</v>
      </c>
      <c r="DM23" s="1">
        <v>559684524</v>
      </c>
      <c r="DN23" s="1" t="s">
        <v>249</v>
      </c>
      <c r="DO23" s="2">
        <v>45915.80400462963</v>
      </c>
      <c r="DR23" s="1" t="s">
        <v>121</v>
      </c>
      <c r="DT23" s="1" t="s">
        <v>139</v>
      </c>
      <c r="DV23" s="1">
        <v>24</v>
      </c>
    </row>
    <row r="24" spans="1:126" ht="14.25" customHeight="1" x14ac:dyDescent="0.3">
      <c r="A24" s="2">
        <v>45915.5541728588</v>
      </c>
      <c r="B24" s="2">
        <v>45916.060396944442</v>
      </c>
      <c r="C24" s="1">
        <v>73</v>
      </c>
      <c r="D24" s="1" t="s">
        <v>217</v>
      </c>
      <c r="E24" s="1" t="s">
        <v>250</v>
      </c>
      <c r="F24" s="1" t="s">
        <v>251</v>
      </c>
      <c r="G24" s="1">
        <v>10.006349</v>
      </c>
      <c r="H24" s="1">
        <v>76.283430999999993</v>
      </c>
      <c r="I24" s="1">
        <v>-76.200004577636719</v>
      </c>
      <c r="J24" s="1">
        <v>4.4409999847412109</v>
      </c>
      <c r="K24" s="1" t="s">
        <v>142</v>
      </c>
      <c r="L24" s="1" t="s">
        <v>191</v>
      </c>
      <c r="M24" s="1" t="s">
        <v>136</v>
      </c>
      <c r="N24" s="1">
        <v>87</v>
      </c>
      <c r="O24" s="1">
        <v>95</v>
      </c>
      <c r="P24" s="1">
        <v>182</v>
      </c>
      <c r="Q24" s="1">
        <v>7</v>
      </c>
      <c r="R24" s="1">
        <v>6</v>
      </c>
      <c r="S24" s="1">
        <v>0</v>
      </c>
      <c r="T24" s="1">
        <v>0</v>
      </c>
      <c r="U24" s="1">
        <v>6</v>
      </c>
      <c r="V24" s="1" t="s">
        <v>116</v>
      </c>
      <c r="W24" s="1" t="s">
        <v>252</v>
      </c>
      <c r="X24" s="1">
        <v>6</v>
      </c>
      <c r="Y24" s="1" t="s">
        <v>146</v>
      </c>
      <c r="Z24" s="1">
        <v>0</v>
      </c>
      <c r="AA24" s="1" t="str">
        <f t="shared" si="0"/>
        <v>No</v>
      </c>
      <c r="AB24" s="1">
        <v>0</v>
      </c>
      <c r="AC24" s="1" t="str">
        <f t="shared" si="1"/>
        <v>No</v>
      </c>
      <c r="AD24" s="1">
        <v>0</v>
      </c>
      <c r="AE24" s="1" t="str">
        <f t="shared" si="2"/>
        <v>No</v>
      </c>
      <c r="AF24" s="1">
        <v>0</v>
      </c>
      <c r="AG24" s="1" t="str">
        <f t="shared" si="3"/>
        <v>No</v>
      </c>
      <c r="AH24" s="1">
        <v>0</v>
      </c>
      <c r="AI24" s="1" t="str">
        <f t="shared" si="4"/>
        <v>No</v>
      </c>
      <c r="AJ24" s="1">
        <v>1</v>
      </c>
      <c r="AK24" s="1" t="str">
        <f t="shared" si="5"/>
        <v>Yes</v>
      </c>
      <c r="AL24" s="1">
        <v>1</v>
      </c>
      <c r="AM24" s="1" t="str">
        <f t="shared" si="6"/>
        <v>Yes</v>
      </c>
      <c r="AN24" s="1">
        <v>0</v>
      </c>
      <c r="AO24" s="1" t="str">
        <f t="shared" si="7"/>
        <v>No</v>
      </c>
      <c r="AP24" s="1" t="s">
        <v>171</v>
      </c>
      <c r="AQ24" s="1">
        <v>1</v>
      </c>
      <c r="AR24" s="1" t="str">
        <f t="shared" si="15"/>
        <v>Yes</v>
      </c>
      <c r="AS24" s="1">
        <v>0</v>
      </c>
      <c r="AT24" s="1" t="str">
        <f t="shared" si="8"/>
        <v>No</v>
      </c>
      <c r="AU24" s="1">
        <v>0</v>
      </c>
      <c r="AV24" s="1" t="str">
        <f t="shared" si="9"/>
        <v>No</v>
      </c>
      <c r="AW24" s="1">
        <v>0</v>
      </c>
      <c r="AX24" s="1" t="str">
        <f t="shared" si="10"/>
        <v>No</v>
      </c>
      <c r="AY24" s="1">
        <v>0</v>
      </c>
      <c r="AZ24" s="1" t="str">
        <f t="shared" si="11"/>
        <v>No</v>
      </c>
      <c r="BA24" s="1">
        <v>1</v>
      </c>
      <c r="BB24" s="1" t="str">
        <f t="shared" si="12"/>
        <v>Yes</v>
      </c>
      <c r="BC24" s="1">
        <v>0</v>
      </c>
      <c r="BD24" s="1" t="str">
        <f t="shared" si="13"/>
        <v>No</v>
      </c>
      <c r="BE24" s="1">
        <v>0</v>
      </c>
      <c r="BF24" s="1" t="str">
        <f t="shared" si="14"/>
        <v>No</v>
      </c>
      <c r="BG24" s="1">
        <v>4</v>
      </c>
      <c r="BH24" s="1">
        <v>0</v>
      </c>
      <c r="BI24" s="1">
        <v>0.7</v>
      </c>
      <c r="DM24" s="1">
        <v>559702949</v>
      </c>
      <c r="DN24" s="1" t="s">
        <v>253</v>
      </c>
      <c r="DO24" s="2">
        <v>45915.831226851849</v>
      </c>
      <c r="DR24" s="1" t="s">
        <v>121</v>
      </c>
      <c r="DT24" s="1" t="s">
        <v>139</v>
      </c>
      <c r="DV24" s="1">
        <v>25</v>
      </c>
    </row>
    <row r="25" spans="1:126" ht="14.25" customHeight="1" x14ac:dyDescent="0.3">
      <c r="A25" s="2">
        <v>45914.498248009259</v>
      </c>
      <c r="B25" s="2">
        <v>45916.075661608797</v>
      </c>
      <c r="C25" s="1">
        <v>26</v>
      </c>
      <c r="D25" s="1" t="s">
        <v>254</v>
      </c>
      <c r="E25" s="1" t="s">
        <v>255</v>
      </c>
      <c r="F25" s="1" t="s">
        <v>256</v>
      </c>
      <c r="G25" s="1">
        <v>9.9385276000000005</v>
      </c>
      <c r="H25" s="1">
        <v>76.249431999999999</v>
      </c>
      <c r="I25" s="1">
        <v>0</v>
      </c>
      <c r="J25" s="1">
        <v>0</v>
      </c>
      <c r="K25" s="1" t="s">
        <v>113</v>
      </c>
      <c r="L25" s="1" t="s">
        <v>143</v>
      </c>
      <c r="M25" s="1" t="s">
        <v>115</v>
      </c>
      <c r="N25" s="1">
        <v>480</v>
      </c>
      <c r="O25" s="1">
        <v>161</v>
      </c>
      <c r="P25" s="1">
        <v>641</v>
      </c>
      <c r="Q25" s="1">
        <v>25</v>
      </c>
      <c r="R25" s="1">
        <v>17</v>
      </c>
      <c r="S25" s="1">
        <v>7</v>
      </c>
      <c r="T25" s="1">
        <v>32</v>
      </c>
      <c r="U25" s="1">
        <v>20</v>
      </c>
      <c r="V25" s="1" t="s">
        <v>116</v>
      </c>
      <c r="W25" s="1" t="s">
        <v>257</v>
      </c>
      <c r="X25" s="1">
        <v>17</v>
      </c>
      <c r="Y25" s="1" t="s">
        <v>258</v>
      </c>
      <c r="Z25" s="1">
        <v>1</v>
      </c>
      <c r="AA25" s="1" t="str">
        <f t="shared" si="0"/>
        <v>Yes</v>
      </c>
      <c r="AB25" s="1">
        <v>0</v>
      </c>
      <c r="AC25" s="1" t="str">
        <f t="shared" si="1"/>
        <v>No</v>
      </c>
      <c r="AD25" s="1">
        <v>0</v>
      </c>
      <c r="AE25" s="1" t="str">
        <f t="shared" si="2"/>
        <v>No</v>
      </c>
      <c r="AF25" s="1">
        <v>1</v>
      </c>
      <c r="AG25" s="1" t="str">
        <f t="shared" si="3"/>
        <v>Yes</v>
      </c>
      <c r="AH25" s="1">
        <v>0</v>
      </c>
      <c r="AI25" s="1" t="str">
        <f t="shared" si="4"/>
        <v>No</v>
      </c>
      <c r="AJ25" s="1">
        <v>0</v>
      </c>
      <c r="AK25" s="1" t="str">
        <f t="shared" si="5"/>
        <v>No</v>
      </c>
      <c r="AL25" s="1">
        <v>1</v>
      </c>
      <c r="AM25" s="1" t="str">
        <f t="shared" si="6"/>
        <v>Yes</v>
      </c>
      <c r="AN25" s="1">
        <v>0</v>
      </c>
      <c r="AO25" s="1" t="str">
        <f t="shared" si="7"/>
        <v>No</v>
      </c>
      <c r="AP25" s="1" t="s">
        <v>171</v>
      </c>
      <c r="AQ25" s="1">
        <v>1</v>
      </c>
      <c r="AR25" s="1" t="str">
        <f t="shared" si="15"/>
        <v>Yes</v>
      </c>
      <c r="AS25" s="1">
        <v>0</v>
      </c>
      <c r="AT25" s="1" t="str">
        <f t="shared" si="8"/>
        <v>No</v>
      </c>
      <c r="AU25" s="1">
        <v>0</v>
      </c>
      <c r="AV25" s="1" t="str">
        <f t="shared" si="9"/>
        <v>No</v>
      </c>
      <c r="AW25" s="1">
        <v>0</v>
      </c>
      <c r="AX25" s="1" t="str">
        <f t="shared" si="10"/>
        <v>No</v>
      </c>
      <c r="AY25" s="1">
        <v>0</v>
      </c>
      <c r="AZ25" s="1" t="str">
        <f t="shared" si="11"/>
        <v>No</v>
      </c>
      <c r="BA25" s="1">
        <v>1</v>
      </c>
      <c r="BB25" s="1" t="str">
        <f t="shared" si="12"/>
        <v>Yes</v>
      </c>
      <c r="BC25" s="1">
        <v>0</v>
      </c>
      <c r="BD25" s="1" t="str">
        <f t="shared" si="13"/>
        <v>No</v>
      </c>
      <c r="BE25" s="1">
        <v>0</v>
      </c>
      <c r="BF25" s="1" t="str">
        <f t="shared" si="14"/>
        <v>No</v>
      </c>
      <c r="BG25" s="1">
        <v>2</v>
      </c>
      <c r="BH25" s="1">
        <v>400</v>
      </c>
      <c r="BI25" s="1">
        <v>2</v>
      </c>
      <c r="DM25" s="1">
        <v>559713134</v>
      </c>
      <c r="DN25" s="1" t="s">
        <v>259</v>
      </c>
      <c r="DO25" s="2">
        <v>45915.846504629633</v>
      </c>
      <c r="DR25" s="1" t="s">
        <v>121</v>
      </c>
      <c r="DT25" s="1" t="s">
        <v>139</v>
      </c>
      <c r="DV25" s="1">
        <v>26</v>
      </c>
    </row>
    <row r="26" spans="1:126" ht="14.25" customHeight="1" x14ac:dyDescent="0.3">
      <c r="A26" s="2">
        <v>45911.418565381937</v>
      </c>
      <c r="B26" s="2">
        <v>45916.293511932869</v>
      </c>
      <c r="C26" s="1">
        <v>1</v>
      </c>
      <c r="D26" s="1" t="s">
        <v>260</v>
      </c>
      <c r="E26" s="1" t="s">
        <v>261</v>
      </c>
      <c r="F26" s="1" t="s">
        <v>262</v>
      </c>
      <c r="G26" s="1">
        <v>9.9633040000000008</v>
      </c>
      <c r="H26" s="1">
        <v>76.239733000000001</v>
      </c>
      <c r="I26" s="1">
        <v>0</v>
      </c>
      <c r="J26" s="1">
        <v>0</v>
      </c>
      <c r="K26" s="1" t="s">
        <v>113</v>
      </c>
      <c r="L26" s="1" t="s">
        <v>143</v>
      </c>
      <c r="M26" s="1" t="s">
        <v>115</v>
      </c>
      <c r="N26" s="1">
        <v>705</v>
      </c>
      <c r="O26" s="1">
        <v>0</v>
      </c>
      <c r="P26" s="1">
        <v>705</v>
      </c>
      <c r="Q26" s="1">
        <v>34</v>
      </c>
      <c r="R26" s="1">
        <v>25</v>
      </c>
      <c r="S26" s="1">
        <v>25</v>
      </c>
      <c r="T26" s="1">
        <v>50</v>
      </c>
      <c r="U26" s="1">
        <v>8</v>
      </c>
      <c r="V26" s="1" t="s">
        <v>116</v>
      </c>
      <c r="W26" s="1" t="s">
        <v>263</v>
      </c>
      <c r="X26" s="1">
        <v>23</v>
      </c>
      <c r="Y26" s="1" t="s">
        <v>258</v>
      </c>
      <c r="Z26" s="1">
        <v>1</v>
      </c>
      <c r="AA26" s="1" t="str">
        <f t="shared" si="0"/>
        <v>Yes</v>
      </c>
      <c r="AB26" s="1">
        <v>0</v>
      </c>
      <c r="AC26" s="1" t="str">
        <f t="shared" si="1"/>
        <v>No</v>
      </c>
      <c r="AD26" s="1">
        <v>0</v>
      </c>
      <c r="AE26" s="1" t="str">
        <f t="shared" si="2"/>
        <v>No</v>
      </c>
      <c r="AF26" s="1">
        <v>1</v>
      </c>
      <c r="AG26" s="1" t="str">
        <f t="shared" si="3"/>
        <v>Yes</v>
      </c>
      <c r="AH26" s="1">
        <v>0</v>
      </c>
      <c r="AI26" s="1" t="str">
        <f t="shared" si="4"/>
        <v>No</v>
      </c>
      <c r="AJ26" s="1">
        <v>0</v>
      </c>
      <c r="AK26" s="1" t="str">
        <f t="shared" si="5"/>
        <v>No</v>
      </c>
      <c r="AL26" s="1">
        <v>1</v>
      </c>
      <c r="AM26" s="1" t="str">
        <f t="shared" si="6"/>
        <v>Yes</v>
      </c>
      <c r="AN26" s="1">
        <v>0</v>
      </c>
      <c r="AO26" s="1" t="str">
        <f t="shared" si="7"/>
        <v>No</v>
      </c>
      <c r="AP26" s="1" t="s">
        <v>165</v>
      </c>
      <c r="AQ26" s="1">
        <v>0</v>
      </c>
      <c r="AR26" s="1" t="str">
        <f t="shared" si="15"/>
        <v>No</v>
      </c>
      <c r="AS26" s="1">
        <v>0</v>
      </c>
      <c r="AT26" s="1" t="str">
        <f t="shared" si="8"/>
        <v>No</v>
      </c>
      <c r="AU26" s="1">
        <v>0</v>
      </c>
      <c r="AV26" s="1" t="str">
        <f t="shared" si="9"/>
        <v>No</v>
      </c>
      <c r="AW26" s="1">
        <v>0</v>
      </c>
      <c r="AX26" s="1" t="str">
        <f t="shared" si="10"/>
        <v>No</v>
      </c>
      <c r="AY26" s="1">
        <v>0</v>
      </c>
      <c r="AZ26" s="1" t="str">
        <f t="shared" si="11"/>
        <v>No</v>
      </c>
      <c r="BA26" s="1">
        <v>1</v>
      </c>
      <c r="BB26" s="1" t="str">
        <f t="shared" si="12"/>
        <v>Yes</v>
      </c>
      <c r="BC26" s="1">
        <v>0</v>
      </c>
      <c r="BD26" s="1" t="str">
        <f t="shared" si="13"/>
        <v>No</v>
      </c>
      <c r="BE26" s="1">
        <v>0</v>
      </c>
      <c r="BF26" s="1" t="str">
        <f t="shared" si="14"/>
        <v>No</v>
      </c>
      <c r="BG26" s="1">
        <v>4</v>
      </c>
      <c r="BH26" s="1">
        <v>0.47</v>
      </c>
      <c r="BI26" s="1">
        <v>3</v>
      </c>
      <c r="DM26" s="1">
        <v>559780582</v>
      </c>
      <c r="DN26" s="1" t="s">
        <v>264</v>
      </c>
      <c r="DO26" s="2">
        <v>45916.064363425918</v>
      </c>
      <c r="DR26" s="1" t="s">
        <v>121</v>
      </c>
      <c r="DT26" s="1" t="s">
        <v>139</v>
      </c>
      <c r="DV26" s="1">
        <v>27</v>
      </c>
    </row>
    <row r="27" spans="1:126" ht="14.25" customHeight="1" x14ac:dyDescent="0.3">
      <c r="A27" s="2">
        <v>45911.41081267361</v>
      </c>
      <c r="B27" s="2">
        <v>45916.296804178237</v>
      </c>
      <c r="C27" s="1">
        <v>1</v>
      </c>
      <c r="D27" s="1" t="s">
        <v>260</v>
      </c>
      <c r="E27" s="1" t="s">
        <v>265</v>
      </c>
      <c r="F27" s="1" t="s">
        <v>266</v>
      </c>
      <c r="G27" s="1">
        <v>9.9636060000000004</v>
      </c>
      <c r="H27" s="1">
        <v>76.241397000000006</v>
      </c>
      <c r="I27" s="1">
        <v>0</v>
      </c>
      <c r="J27" s="1">
        <v>0</v>
      </c>
      <c r="K27" s="1" t="s">
        <v>113</v>
      </c>
      <c r="L27" s="1" t="s">
        <v>157</v>
      </c>
      <c r="M27" s="1" t="s">
        <v>115</v>
      </c>
      <c r="N27" s="1">
        <v>25</v>
      </c>
      <c r="O27" s="1">
        <v>24</v>
      </c>
      <c r="P27" s="1">
        <v>49</v>
      </c>
      <c r="Q27" s="1">
        <v>6</v>
      </c>
      <c r="R27" s="1">
        <v>6</v>
      </c>
      <c r="S27" s="1">
        <v>4</v>
      </c>
      <c r="T27" s="1">
        <v>0</v>
      </c>
      <c r="U27" s="1">
        <v>4</v>
      </c>
      <c r="V27" s="1" t="s">
        <v>116</v>
      </c>
      <c r="W27" s="1" t="s">
        <v>267</v>
      </c>
      <c r="X27" s="1">
        <v>6</v>
      </c>
      <c r="Y27" s="1" t="s">
        <v>268</v>
      </c>
      <c r="Z27" s="1">
        <v>0</v>
      </c>
      <c r="AA27" s="1" t="str">
        <f t="shared" si="0"/>
        <v>No</v>
      </c>
      <c r="AB27" s="1">
        <v>0</v>
      </c>
      <c r="AC27" s="1" t="str">
        <f t="shared" si="1"/>
        <v>No</v>
      </c>
      <c r="AD27" s="1">
        <v>1</v>
      </c>
      <c r="AE27" s="1" t="str">
        <f t="shared" si="2"/>
        <v>Yes</v>
      </c>
      <c r="AF27" s="1">
        <v>0</v>
      </c>
      <c r="AG27" s="1" t="str">
        <f t="shared" si="3"/>
        <v>No</v>
      </c>
      <c r="AH27" s="1">
        <v>0</v>
      </c>
      <c r="AI27" s="1" t="str">
        <f t="shared" si="4"/>
        <v>No</v>
      </c>
      <c r="AJ27" s="1">
        <v>0</v>
      </c>
      <c r="AK27" s="1" t="str">
        <f t="shared" si="5"/>
        <v>No</v>
      </c>
      <c r="AL27" s="1">
        <v>0</v>
      </c>
      <c r="AM27" s="1" t="str">
        <f t="shared" si="6"/>
        <v>No</v>
      </c>
      <c r="AN27" s="1">
        <v>1</v>
      </c>
      <c r="AO27" s="1" t="str">
        <f t="shared" si="7"/>
        <v>Yes</v>
      </c>
      <c r="AP27" s="1" t="s">
        <v>165</v>
      </c>
      <c r="AQ27" s="1">
        <v>0</v>
      </c>
      <c r="AR27" s="1" t="str">
        <f t="shared" si="15"/>
        <v>No</v>
      </c>
      <c r="AS27" s="1">
        <v>0</v>
      </c>
      <c r="AT27" s="1" t="str">
        <f t="shared" si="8"/>
        <v>No</v>
      </c>
      <c r="AU27" s="1">
        <v>0</v>
      </c>
      <c r="AV27" s="1" t="str">
        <f t="shared" si="9"/>
        <v>No</v>
      </c>
      <c r="AW27" s="1">
        <v>0</v>
      </c>
      <c r="AX27" s="1" t="str">
        <f t="shared" si="10"/>
        <v>No</v>
      </c>
      <c r="AY27" s="1">
        <v>0</v>
      </c>
      <c r="AZ27" s="1" t="str">
        <f t="shared" si="11"/>
        <v>No</v>
      </c>
      <c r="BA27" s="1">
        <v>1</v>
      </c>
      <c r="BB27" s="1" t="str">
        <f t="shared" si="12"/>
        <v>Yes</v>
      </c>
      <c r="BC27" s="1">
        <v>0</v>
      </c>
      <c r="BD27" s="1" t="str">
        <f t="shared" si="13"/>
        <v>No</v>
      </c>
      <c r="BE27" s="1">
        <v>0</v>
      </c>
      <c r="BF27" s="1" t="str">
        <f t="shared" si="14"/>
        <v>No</v>
      </c>
      <c r="BG27" s="1">
        <v>0</v>
      </c>
      <c r="BH27" s="1">
        <v>0.25</v>
      </c>
      <c r="BI27" s="1">
        <v>0.1</v>
      </c>
      <c r="DM27" s="1">
        <v>559781469</v>
      </c>
      <c r="DN27" s="1" t="s">
        <v>269</v>
      </c>
      <c r="DO27" s="2">
        <v>45916.06763888889</v>
      </c>
      <c r="DR27" s="1" t="s">
        <v>121</v>
      </c>
      <c r="DT27" s="1" t="s">
        <v>139</v>
      </c>
      <c r="DV27" s="1">
        <v>28</v>
      </c>
    </row>
    <row r="28" spans="1:126" ht="14.25" customHeight="1" x14ac:dyDescent="0.3">
      <c r="A28" s="2">
        <v>45911.423689560193</v>
      </c>
      <c r="B28" s="2">
        <v>45916.298665810187</v>
      </c>
      <c r="C28" s="1">
        <v>1</v>
      </c>
      <c r="D28" s="1" t="s">
        <v>260</v>
      </c>
      <c r="E28" s="1" t="s">
        <v>270</v>
      </c>
      <c r="F28" s="1" t="s">
        <v>271</v>
      </c>
      <c r="G28" s="1">
        <v>9.9668600000000005</v>
      </c>
      <c r="H28" s="1">
        <v>76.243528999999995</v>
      </c>
      <c r="I28" s="1">
        <v>0</v>
      </c>
      <c r="J28" s="1">
        <v>0</v>
      </c>
      <c r="K28" s="1" t="s">
        <v>142</v>
      </c>
      <c r="L28" s="1" t="s">
        <v>135</v>
      </c>
      <c r="M28" s="1" t="s">
        <v>136</v>
      </c>
      <c r="N28" s="1">
        <v>413</v>
      </c>
      <c r="O28" s="1">
        <v>306</v>
      </c>
      <c r="P28" s="1">
        <v>719</v>
      </c>
      <c r="Q28" s="1">
        <v>53</v>
      </c>
      <c r="R28" s="1">
        <v>42</v>
      </c>
      <c r="S28" s="1">
        <v>32</v>
      </c>
      <c r="T28" s="1">
        <v>57</v>
      </c>
      <c r="U28" s="1">
        <v>50</v>
      </c>
      <c r="V28" s="1" t="s">
        <v>116</v>
      </c>
      <c r="W28" s="1" t="s">
        <v>272</v>
      </c>
      <c r="X28" s="1">
        <v>29</v>
      </c>
      <c r="Y28" s="1" t="s">
        <v>258</v>
      </c>
      <c r="Z28" s="1">
        <v>1</v>
      </c>
      <c r="AA28" s="1" t="str">
        <f t="shared" si="0"/>
        <v>Yes</v>
      </c>
      <c r="AB28" s="1">
        <v>0</v>
      </c>
      <c r="AC28" s="1" t="str">
        <f t="shared" si="1"/>
        <v>No</v>
      </c>
      <c r="AD28" s="1">
        <v>0</v>
      </c>
      <c r="AE28" s="1" t="str">
        <f t="shared" si="2"/>
        <v>No</v>
      </c>
      <c r="AF28" s="1">
        <v>1</v>
      </c>
      <c r="AG28" s="1" t="str">
        <f t="shared" si="3"/>
        <v>Yes</v>
      </c>
      <c r="AH28" s="1">
        <v>0</v>
      </c>
      <c r="AI28" s="1" t="str">
        <f t="shared" si="4"/>
        <v>No</v>
      </c>
      <c r="AJ28" s="1">
        <v>0</v>
      </c>
      <c r="AK28" s="1" t="str">
        <f t="shared" si="5"/>
        <v>No</v>
      </c>
      <c r="AL28" s="1">
        <v>1</v>
      </c>
      <c r="AM28" s="1" t="str">
        <f t="shared" si="6"/>
        <v>Yes</v>
      </c>
      <c r="AN28" s="1">
        <v>0</v>
      </c>
      <c r="AO28" s="1" t="str">
        <f t="shared" si="7"/>
        <v>No</v>
      </c>
      <c r="AP28" s="1" t="s">
        <v>129</v>
      </c>
      <c r="AQ28" s="1">
        <v>1</v>
      </c>
      <c r="AR28" s="1" t="str">
        <f t="shared" si="15"/>
        <v>Yes</v>
      </c>
      <c r="AS28" s="1">
        <v>0</v>
      </c>
      <c r="AT28" s="1" t="str">
        <f t="shared" si="8"/>
        <v>No</v>
      </c>
      <c r="AU28" s="1">
        <v>1</v>
      </c>
      <c r="AV28" s="1" t="str">
        <f t="shared" si="9"/>
        <v>Yes</v>
      </c>
      <c r="AW28" s="1">
        <v>0</v>
      </c>
      <c r="AX28" s="1" t="str">
        <f t="shared" si="10"/>
        <v>No</v>
      </c>
      <c r="AY28" s="1">
        <v>0</v>
      </c>
      <c r="AZ28" s="1" t="str">
        <f t="shared" si="11"/>
        <v>No</v>
      </c>
      <c r="BA28" s="1">
        <v>1</v>
      </c>
      <c r="BB28" s="1" t="str">
        <f t="shared" si="12"/>
        <v>Yes</v>
      </c>
      <c r="BC28" s="1">
        <v>0</v>
      </c>
      <c r="BD28" s="1" t="str">
        <f t="shared" si="13"/>
        <v>No</v>
      </c>
      <c r="BE28" s="1">
        <v>0</v>
      </c>
      <c r="BF28" s="1" t="str">
        <f t="shared" si="14"/>
        <v>No</v>
      </c>
      <c r="BG28" s="1">
        <v>2</v>
      </c>
      <c r="BH28" s="1">
        <v>0.1</v>
      </c>
      <c r="BI28" s="1">
        <v>3.1</v>
      </c>
      <c r="DM28" s="1">
        <v>559782057</v>
      </c>
      <c r="DN28" s="1" t="s">
        <v>273</v>
      </c>
      <c r="DO28" s="2">
        <v>45916.069513888891</v>
      </c>
      <c r="DR28" s="1" t="s">
        <v>121</v>
      </c>
      <c r="DT28" s="1" t="s">
        <v>139</v>
      </c>
      <c r="DV28" s="1">
        <v>29</v>
      </c>
    </row>
    <row r="29" spans="1:126" ht="14.25" customHeight="1" x14ac:dyDescent="0.3">
      <c r="A29" s="2">
        <v>45910.957029872683</v>
      </c>
      <c r="B29" s="2">
        <v>45916.302034525463</v>
      </c>
      <c r="C29" s="1">
        <v>31</v>
      </c>
      <c r="D29" s="1" t="s">
        <v>274</v>
      </c>
      <c r="E29" s="1" t="s">
        <v>275</v>
      </c>
      <c r="F29" s="1" t="s">
        <v>276</v>
      </c>
      <c r="G29" s="1">
        <v>10.027958</v>
      </c>
      <c r="H29" s="1">
        <v>76.267882999999998</v>
      </c>
      <c r="I29" s="1">
        <v>0</v>
      </c>
      <c r="J29" s="1">
        <v>0</v>
      </c>
      <c r="K29" s="1" t="s">
        <v>113</v>
      </c>
      <c r="L29" s="1" t="s">
        <v>157</v>
      </c>
      <c r="M29" s="1" t="s">
        <v>115</v>
      </c>
      <c r="N29" s="1">
        <v>78</v>
      </c>
      <c r="O29" s="1">
        <v>66</v>
      </c>
      <c r="P29" s="1">
        <v>144</v>
      </c>
      <c r="Q29" s="1">
        <v>17</v>
      </c>
      <c r="R29" s="1">
        <v>12</v>
      </c>
      <c r="S29" s="1">
        <v>2</v>
      </c>
      <c r="T29" s="1">
        <v>10</v>
      </c>
      <c r="U29" s="1">
        <v>15</v>
      </c>
      <c r="V29" s="1" t="s">
        <v>116</v>
      </c>
      <c r="W29" s="1" t="s">
        <v>277</v>
      </c>
      <c r="X29" s="1">
        <v>11</v>
      </c>
      <c r="Y29" s="1" t="s">
        <v>146</v>
      </c>
      <c r="Z29" s="1">
        <v>0</v>
      </c>
      <c r="AA29" s="1" t="str">
        <f t="shared" si="0"/>
        <v>No</v>
      </c>
      <c r="AB29" s="1">
        <v>0</v>
      </c>
      <c r="AC29" s="1" t="str">
        <f t="shared" si="1"/>
        <v>No</v>
      </c>
      <c r="AD29" s="1">
        <v>0</v>
      </c>
      <c r="AE29" s="1" t="str">
        <f t="shared" si="2"/>
        <v>No</v>
      </c>
      <c r="AF29" s="1">
        <v>0</v>
      </c>
      <c r="AG29" s="1" t="str">
        <f t="shared" si="3"/>
        <v>No</v>
      </c>
      <c r="AH29" s="1">
        <v>0</v>
      </c>
      <c r="AI29" s="1" t="str">
        <f t="shared" si="4"/>
        <v>No</v>
      </c>
      <c r="AJ29" s="1">
        <v>1</v>
      </c>
      <c r="AK29" s="1" t="str">
        <f t="shared" si="5"/>
        <v>Yes</v>
      </c>
      <c r="AL29" s="1">
        <v>1</v>
      </c>
      <c r="AM29" s="1" t="str">
        <f t="shared" si="6"/>
        <v>Yes</v>
      </c>
      <c r="AN29" s="1">
        <v>0</v>
      </c>
      <c r="AO29" s="1" t="str">
        <f t="shared" si="7"/>
        <v>No</v>
      </c>
      <c r="AP29" s="1" t="s">
        <v>222</v>
      </c>
      <c r="AQ29" s="1">
        <v>0</v>
      </c>
      <c r="AR29" s="1" t="str">
        <f t="shared" si="15"/>
        <v>No</v>
      </c>
      <c r="AS29" s="1">
        <v>0</v>
      </c>
      <c r="AT29" s="1" t="str">
        <f t="shared" si="8"/>
        <v>No</v>
      </c>
      <c r="AU29" s="1">
        <v>1</v>
      </c>
      <c r="AV29" s="1" t="str">
        <f t="shared" si="9"/>
        <v>Yes</v>
      </c>
      <c r="AW29" s="1">
        <v>0</v>
      </c>
      <c r="AX29" s="1" t="str">
        <f t="shared" si="10"/>
        <v>No</v>
      </c>
      <c r="AY29" s="1">
        <v>0</v>
      </c>
      <c r="AZ29" s="1" t="str">
        <f t="shared" si="11"/>
        <v>No</v>
      </c>
      <c r="BA29" s="1">
        <v>0</v>
      </c>
      <c r="BB29" s="1" t="str">
        <f t="shared" si="12"/>
        <v>No</v>
      </c>
      <c r="BC29" s="1">
        <v>0</v>
      </c>
      <c r="BD29" s="1" t="str">
        <f t="shared" si="13"/>
        <v>No</v>
      </c>
      <c r="BE29" s="1">
        <v>0</v>
      </c>
      <c r="BF29" s="1" t="str">
        <f t="shared" si="14"/>
        <v>No</v>
      </c>
      <c r="BG29" s="1">
        <v>1</v>
      </c>
      <c r="BH29" s="1">
        <v>2</v>
      </c>
      <c r="BI29" s="1">
        <v>3.5</v>
      </c>
      <c r="DM29" s="1">
        <v>559783118</v>
      </c>
      <c r="DN29" s="1" t="s">
        <v>278</v>
      </c>
      <c r="DO29" s="2">
        <v>45916.072858796288</v>
      </c>
      <c r="DR29" s="1" t="s">
        <v>121</v>
      </c>
      <c r="DT29" s="1" t="s">
        <v>139</v>
      </c>
      <c r="DV29" s="1">
        <v>30</v>
      </c>
    </row>
    <row r="30" spans="1:126" ht="14.25" customHeight="1" x14ac:dyDescent="0.3">
      <c r="A30" s="2">
        <v>45911.459599351852</v>
      </c>
      <c r="B30" s="2">
        <v>45916.302372743063</v>
      </c>
      <c r="C30" s="1">
        <v>34</v>
      </c>
      <c r="D30" s="1" t="s">
        <v>279</v>
      </c>
      <c r="E30" s="1" t="s">
        <v>280</v>
      </c>
      <c r="F30" s="1" t="s">
        <v>281</v>
      </c>
      <c r="G30" s="1">
        <v>10.019490899999999</v>
      </c>
      <c r="H30" s="1">
        <v>76.291268599999995</v>
      </c>
      <c r="I30" s="1">
        <v>0</v>
      </c>
      <c r="J30" s="1">
        <v>0</v>
      </c>
      <c r="K30" s="1" t="s">
        <v>113</v>
      </c>
      <c r="L30" s="1" t="s">
        <v>135</v>
      </c>
      <c r="M30" s="1" t="s">
        <v>151</v>
      </c>
      <c r="N30" s="1">
        <v>794</v>
      </c>
      <c r="O30" s="1">
        <v>569</v>
      </c>
      <c r="P30" s="1">
        <v>1363</v>
      </c>
      <c r="Q30" s="1">
        <v>57</v>
      </c>
      <c r="R30" s="1">
        <v>43</v>
      </c>
      <c r="S30" s="1">
        <v>25</v>
      </c>
      <c r="T30" s="1">
        <v>62</v>
      </c>
      <c r="V30" s="1" t="s">
        <v>116</v>
      </c>
      <c r="W30" s="1" t="s">
        <v>282</v>
      </c>
      <c r="X30" s="1">
        <v>37</v>
      </c>
      <c r="Y30" s="1" t="s">
        <v>283</v>
      </c>
      <c r="Z30" s="1">
        <v>1</v>
      </c>
      <c r="AA30" s="1" t="str">
        <f t="shared" si="0"/>
        <v>Yes</v>
      </c>
      <c r="AB30" s="1">
        <v>0</v>
      </c>
      <c r="AC30" s="1" t="str">
        <f t="shared" si="1"/>
        <v>No</v>
      </c>
      <c r="AD30" s="1">
        <v>0</v>
      </c>
      <c r="AE30" s="1" t="str">
        <f t="shared" si="2"/>
        <v>No</v>
      </c>
      <c r="AF30" s="1">
        <v>1</v>
      </c>
      <c r="AG30" s="1" t="str">
        <f t="shared" si="3"/>
        <v>Yes</v>
      </c>
      <c r="AH30" s="1">
        <v>0</v>
      </c>
      <c r="AI30" s="1" t="str">
        <f t="shared" si="4"/>
        <v>No</v>
      </c>
      <c r="AJ30" s="1">
        <v>1</v>
      </c>
      <c r="AK30" s="1" t="str">
        <f t="shared" si="5"/>
        <v>Yes</v>
      </c>
      <c r="AL30" s="1">
        <v>1</v>
      </c>
      <c r="AM30" s="1" t="str">
        <f t="shared" si="6"/>
        <v>Yes</v>
      </c>
      <c r="AN30" s="1">
        <v>0</v>
      </c>
      <c r="AO30" s="1" t="str">
        <f t="shared" si="7"/>
        <v>No</v>
      </c>
      <c r="AP30" s="1" t="s">
        <v>171</v>
      </c>
      <c r="AQ30" s="1">
        <v>1</v>
      </c>
      <c r="AR30" s="1" t="str">
        <f t="shared" si="15"/>
        <v>Yes</v>
      </c>
      <c r="AS30" s="1">
        <v>0</v>
      </c>
      <c r="AT30" s="1" t="str">
        <f t="shared" si="8"/>
        <v>No</v>
      </c>
      <c r="AU30" s="1">
        <v>0</v>
      </c>
      <c r="AV30" s="1" t="str">
        <f t="shared" si="9"/>
        <v>No</v>
      </c>
      <c r="AW30" s="1">
        <v>0</v>
      </c>
      <c r="AX30" s="1" t="str">
        <f t="shared" si="10"/>
        <v>No</v>
      </c>
      <c r="AY30" s="1">
        <v>0</v>
      </c>
      <c r="AZ30" s="1" t="str">
        <f t="shared" si="11"/>
        <v>No</v>
      </c>
      <c r="BA30" s="1">
        <v>1</v>
      </c>
      <c r="BB30" s="1" t="str">
        <f t="shared" si="12"/>
        <v>Yes</v>
      </c>
      <c r="BC30" s="1">
        <v>0</v>
      </c>
      <c r="BD30" s="1" t="str">
        <f t="shared" si="13"/>
        <v>No</v>
      </c>
      <c r="BE30" s="1">
        <v>0</v>
      </c>
      <c r="BF30" s="1" t="str">
        <f t="shared" si="14"/>
        <v>No</v>
      </c>
      <c r="BG30" s="1">
        <v>1</v>
      </c>
      <c r="BH30" s="1">
        <v>0.05</v>
      </c>
      <c r="BI30" s="1">
        <v>7.5</v>
      </c>
      <c r="DM30" s="1">
        <v>559783216</v>
      </c>
      <c r="DN30" s="1" t="s">
        <v>284</v>
      </c>
      <c r="DO30" s="2">
        <v>45916.073194444441</v>
      </c>
      <c r="DR30" s="1" t="s">
        <v>121</v>
      </c>
      <c r="DT30" s="1" t="s">
        <v>139</v>
      </c>
      <c r="DV30" s="1">
        <v>31</v>
      </c>
    </row>
    <row r="31" spans="1:126" ht="14.25" customHeight="1" x14ac:dyDescent="0.3">
      <c r="A31" s="2">
        <v>45916.302372962957</v>
      </c>
      <c r="B31" s="2">
        <v>45916.310770358803</v>
      </c>
      <c r="C31" s="1">
        <v>33</v>
      </c>
      <c r="D31" s="1" t="s">
        <v>285</v>
      </c>
      <c r="E31" s="1" t="s">
        <v>286</v>
      </c>
      <c r="F31" s="1" t="s">
        <v>287</v>
      </c>
      <c r="G31" s="1">
        <v>10.017502</v>
      </c>
      <c r="H31" s="1">
        <v>76.290683000000001</v>
      </c>
      <c r="I31" s="1">
        <v>0</v>
      </c>
      <c r="J31" s="1">
        <v>0</v>
      </c>
      <c r="K31" s="1" t="s">
        <v>142</v>
      </c>
      <c r="L31" s="1" t="s">
        <v>191</v>
      </c>
      <c r="M31" s="1" t="s">
        <v>136</v>
      </c>
      <c r="N31" s="1">
        <v>55</v>
      </c>
      <c r="O31" s="1">
        <v>48</v>
      </c>
      <c r="P31" s="1">
        <v>103</v>
      </c>
      <c r="Q31" s="1">
        <v>10</v>
      </c>
      <c r="R31" s="1">
        <v>5</v>
      </c>
      <c r="S31" s="1">
        <v>5</v>
      </c>
      <c r="T31" s="1">
        <v>0</v>
      </c>
      <c r="U31" s="1">
        <v>4</v>
      </c>
      <c r="V31" s="1" t="s">
        <v>288</v>
      </c>
      <c r="W31" s="1" t="s">
        <v>289</v>
      </c>
      <c r="X31" s="1">
        <v>5</v>
      </c>
      <c r="Y31" s="1" t="s">
        <v>146</v>
      </c>
      <c r="Z31" s="1">
        <v>0</v>
      </c>
      <c r="AA31" s="1" t="str">
        <f t="shared" si="0"/>
        <v>No</v>
      </c>
      <c r="AB31" s="1">
        <v>0</v>
      </c>
      <c r="AC31" s="1" t="str">
        <f t="shared" si="1"/>
        <v>No</v>
      </c>
      <c r="AD31" s="1">
        <v>0</v>
      </c>
      <c r="AE31" s="1" t="str">
        <f t="shared" si="2"/>
        <v>No</v>
      </c>
      <c r="AF31" s="1">
        <v>0</v>
      </c>
      <c r="AG31" s="1" t="str">
        <f t="shared" si="3"/>
        <v>No</v>
      </c>
      <c r="AH31" s="1">
        <v>0</v>
      </c>
      <c r="AI31" s="1" t="str">
        <f t="shared" si="4"/>
        <v>No</v>
      </c>
      <c r="AJ31" s="1">
        <v>1</v>
      </c>
      <c r="AK31" s="1" t="str">
        <f t="shared" si="5"/>
        <v>Yes</v>
      </c>
      <c r="AL31" s="1">
        <v>1</v>
      </c>
      <c r="AM31" s="1" t="str">
        <f t="shared" si="6"/>
        <v>Yes</v>
      </c>
      <c r="AN31" s="1">
        <v>0</v>
      </c>
      <c r="AO31" s="1" t="str">
        <f t="shared" si="7"/>
        <v>No</v>
      </c>
      <c r="AP31" s="1" t="s">
        <v>165</v>
      </c>
      <c r="AQ31" s="1">
        <v>0</v>
      </c>
      <c r="AR31" s="1" t="str">
        <f t="shared" si="15"/>
        <v>No</v>
      </c>
      <c r="AS31" s="1">
        <v>0</v>
      </c>
      <c r="AT31" s="1" t="str">
        <f t="shared" si="8"/>
        <v>No</v>
      </c>
      <c r="AU31" s="1">
        <v>0</v>
      </c>
      <c r="AV31" s="1" t="str">
        <f t="shared" si="9"/>
        <v>No</v>
      </c>
      <c r="AW31" s="1">
        <v>0</v>
      </c>
      <c r="AX31" s="1" t="str">
        <f t="shared" si="10"/>
        <v>No</v>
      </c>
      <c r="AY31" s="1">
        <v>0</v>
      </c>
      <c r="AZ31" s="1" t="str">
        <f t="shared" si="11"/>
        <v>No</v>
      </c>
      <c r="BA31" s="1">
        <v>1</v>
      </c>
      <c r="BB31" s="1" t="str">
        <f t="shared" si="12"/>
        <v>Yes</v>
      </c>
      <c r="BC31" s="1">
        <v>0</v>
      </c>
      <c r="BD31" s="1" t="str">
        <f t="shared" si="13"/>
        <v>No</v>
      </c>
      <c r="BE31" s="1">
        <v>0</v>
      </c>
      <c r="BF31" s="1" t="str">
        <f t="shared" si="14"/>
        <v>No</v>
      </c>
      <c r="BG31" s="1">
        <v>3</v>
      </c>
      <c r="BH31" s="1">
        <v>0.2</v>
      </c>
      <c r="BI31" s="1">
        <v>1.5</v>
      </c>
      <c r="DM31" s="1">
        <v>559785569</v>
      </c>
      <c r="DN31" s="1" t="s">
        <v>290</v>
      </c>
      <c r="DO31" s="2">
        <v>45916.081608796303</v>
      </c>
      <c r="DR31" s="1" t="s">
        <v>121</v>
      </c>
      <c r="DT31" s="1" t="s">
        <v>139</v>
      </c>
      <c r="DV31" s="1">
        <v>32</v>
      </c>
    </row>
    <row r="32" spans="1:126" ht="14.25" customHeight="1" x14ac:dyDescent="0.3">
      <c r="A32" s="2">
        <v>45916.310770462973</v>
      </c>
      <c r="B32" s="2">
        <v>45916.313948587973</v>
      </c>
      <c r="C32" s="1">
        <v>34</v>
      </c>
      <c r="D32" s="1" t="s">
        <v>279</v>
      </c>
      <c r="E32" s="1" t="s">
        <v>291</v>
      </c>
      <c r="F32" s="1" t="s">
        <v>292</v>
      </c>
      <c r="G32" s="1">
        <v>10.023056</v>
      </c>
      <c r="H32" s="1">
        <v>76.287735999999995</v>
      </c>
      <c r="I32" s="1">
        <v>0</v>
      </c>
      <c r="J32" s="1">
        <v>0</v>
      </c>
      <c r="K32" s="1" t="s">
        <v>142</v>
      </c>
      <c r="L32" s="1" t="s">
        <v>135</v>
      </c>
      <c r="M32" s="1" t="s">
        <v>136</v>
      </c>
      <c r="N32" s="1">
        <v>137</v>
      </c>
      <c r="O32" s="1">
        <v>100</v>
      </c>
      <c r="P32" s="1">
        <v>237</v>
      </c>
      <c r="Q32" s="1">
        <v>27</v>
      </c>
      <c r="R32" s="1">
        <v>15</v>
      </c>
      <c r="S32" s="1">
        <v>2</v>
      </c>
      <c r="T32" s="1">
        <v>12</v>
      </c>
      <c r="U32" s="1">
        <v>10</v>
      </c>
      <c r="V32" s="1" t="s">
        <v>116</v>
      </c>
      <c r="W32" s="1" t="s">
        <v>293</v>
      </c>
      <c r="X32" s="1">
        <v>15</v>
      </c>
      <c r="Y32" s="1" t="s">
        <v>215</v>
      </c>
      <c r="Z32" s="1">
        <v>1</v>
      </c>
      <c r="AA32" s="1" t="str">
        <f t="shared" si="0"/>
        <v>Yes</v>
      </c>
      <c r="AB32" s="1">
        <v>1</v>
      </c>
      <c r="AC32" s="1" t="str">
        <f t="shared" si="1"/>
        <v>Yes</v>
      </c>
      <c r="AD32" s="1">
        <v>1</v>
      </c>
      <c r="AE32" s="1" t="str">
        <f t="shared" si="2"/>
        <v>Yes</v>
      </c>
      <c r="AF32" s="1">
        <v>1</v>
      </c>
      <c r="AG32" s="1" t="str">
        <f t="shared" si="3"/>
        <v>Yes</v>
      </c>
      <c r="AH32" s="1">
        <v>0</v>
      </c>
      <c r="AI32" s="1" t="str">
        <f t="shared" si="4"/>
        <v>No</v>
      </c>
      <c r="AJ32" s="1">
        <v>1</v>
      </c>
      <c r="AK32" s="1" t="str">
        <f t="shared" si="5"/>
        <v>Yes</v>
      </c>
      <c r="AL32" s="1">
        <v>1</v>
      </c>
      <c r="AM32" s="1" t="str">
        <f t="shared" si="6"/>
        <v>Yes</v>
      </c>
      <c r="AN32" s="1">
        <v>0</v>
      </c>
      <c r="AO32" s="1" t="str">
        <f t="shared" si="7"/>
        <v>No</v>
      </c>
      <c r="AP32" s="1" t="s">
        <v>153</v>
      </c>
      <c r="AQ32" s="1">
        <v>1</v>
      </c>
      <c r="AR32" s="1" t="str">
        <f t="shared" si="15"/>
        <v>Yes</v>
      </c>
      <c r="AS32" s="1">
        <v>1</v>
      </c>
      <c r="AT32" s="1" t="str">
        <f t="shared" si="8"/>
        <v>Yes</v>
      </c>
      <c r="AU32" s="1">
        <v>0</v>
      </c>
      <c r="AV32" s="1" t="str">
        <f t="shared" si="9"/>
        <v>No</v>
      </c>
      <c r="AW32" s="1">
        <v>0</v>
      </c>
      <c r="AX32" s="1" t="str">
        <f t="shared" si="10"/>
        <v>No</v>
      </c>
      <c r="AY32" s="1">
        <v>0</v>
      </c>
      <c r="AZ32" s="1" t="str">
        <f t="shared" si="11"/>
        <v>No</v>
      </c>
      <c r="BA32" s="1">
        <v>1</v>
      </c>
      <c r="BB32" s="1" t="str">
        <f t="shared" si="12"/>
        <v>Yes</v>
      </c>
      <c r="BC32" s="1">
        <v>0</v>
      </c>
      <c r="BD32" s="1" t="str">
        <f t="shared" si="13"/>
        <v>No</v>
      </c>
      <c r="BE32" s="1">
        <v>0</v>
      </c>
      <c r="BF32" s="1" t="str">
        <f t="shared" si="14"/>
        <v>No</v>
      </c>
      <c r="BG32" s="1">
        <v>7</v>
      </c>
      <c r="BH32" s="1">
        <v>1</v>
      </c>
      <c r="BI32" s="1">
        <v>1</v>
      </c>
      <c r="DM32" s="1">
        <v>559786368</v>
      </c>
      <c r="DN32" s="1" t="s">
        <v>294</v>
      </c>
      <c r="DO32" s="2">
        <v>45916.084780092591</v>
      </c>
      <c r="DR32" s="1" t="s">
        <v>121</v>
      </c>
      <c r="DT32" s="1" t="s">
        <v>139</v>
      </c>
      <c r="DV32" s="1">
        <v>33</v>
      </c>
    </row>
    <row r="33" spans="1:126" ht="14.25" customHeight="1" x14ac:dyDescent="0.3">
      <c r="A33" s="2">
        <v>45911.427698981483</v>
      </c>
      <c r="B33" s="2">
        <v>45916.314116932866</v>
      </c>
      <c r="C33" s="1">
        <v>28</v>
      </c>
      <c r="D33" s="1" t="s">
        <v>235</v>
      </c>
      <c r="E33" s="1" t="s">
        <v>161</v>
      </c>
      <c r="F33" s="1" t="s">
        <v>295</v>
      </c>
      <c r="G33" s="1">
        <v>9.5724420000000006</v>
      </c>
      <c r="H33" s="1">
        <v>76.144149999999996</v>
      </c>
      <c r="I33" s="1">
        <v>0</v>
      </c>
      <c r="J33" s="1">
        <v>0</v>
      </c>
      <c r="K33" s="1" t="s">
        <v>113</v>
      </c>
      <c r="L33" s="1" t="s">
        <v>163</v>
      </c>
      <c r="M33" s="1" t="s">
        <v>115</v>
      </c>
      <c r="N33" s="1">
        <v>90</v>
      </c>
      <c r="O33" s="1">
        <v>90</v>
      </c>
      <c r="P33" s="1">
        <v>180</v>
      </c>
      <c r="Q33" s="1">
        <v>8</v>
      </c>
      <c r="R33" s="1">
        <v>7</v>
      </c>
      <c r="S33" s="1">
        <v>0</v>
      </c>
      <c r="T33" s="1">
        <v>5</v>
      </c>
      <c r="U33" s="1">
        <v>4</v>
      </c>
      <c r="V33" s="1" t="s">
        <v>116</v>
      </c>
      <c r="W33" s="1" t="s">
        <v>267</v>
      </c>
      <c r="X33" s="1">
        <v>7</v>
      </c>
      <c r="Y33" s="1" t="s">
        <v>296</v>
      </c>
      <c r="Z33" s="1">
        <v>1</v>
      </c>
      <c r="AA33" s="1" t="str">
        <f t="shared" si="0"/>
        <v>Yes</v>
      </c>
      <c r="AB33" s="1">
        <v>0</v>
      </c>
      <c r="AC33" s="1" t="str">
        <f t="shared" si="1"/>
        <v>No</v>
      </c>
      <c r="AD33" s="1">
        <v>0</v>
      </c>
      <c r="AE33" s="1" t="str">
        <f t="shared" si="2"/>
        <v>No</v>
      </c>
      <c r="AF33" s="1">
        <v>0</v>
      </c>
      <c r="AG33" s="1" t="str">
        <f t="shared" si="3"/>
        <v>No</v>
      </c>
      <c r="AH33" s="1">
        <v>0</v>
      </c>
      <c r="AI33" s="1" t="str">
        <f t="shared" si="4"/>
        <v>No</v>
      </c>
      <c r="AJ33" s="1">
        <v>0</v>
      </c>
      <c r="AK33" s="1" t="str">
        <f t="shared" si="5"/>
        <v>No</v>
      </c>
      <c r="AL33" s="1">
        <v>0</v>
      </c>
      <c r="AM33" s="1" t="str">
        <f t="shared" si="6"/>
        <v>No</v>
      </c>
      <c r="AN33" s="1">
        <v>0</v>
      </c>
      <c r="AO33" s="1" t="str">
        <f t="shared" si="7"/>
        <v>No</v>
      </c>
      <c r="AP33" s="1" t="s">
        <v>296</v>
      </c>
      <c r="AQ33" s="1">
        <v>1</v>
      </c>
      <c r="AR33" s="1" t="str">
        <f t="shared" si="15"/>
        <v>Yes</v>
      </c>
      <c r="AS33" s="1">
        <v>0</v>
      </c>
      <c r="AT33" s="1" t="str">
        <f t="shared" si="8"/>
        <v>No</v>
      </c>
      <c r="AU33" s="1">
        <v>0</v>
      </c>
      <c r="AV33" s="1" t="str">
        <f t="shared" si="9"/>
        <v>No</v>
      </c>
      <c r="AW33" s="1">
        <v>0</v>
      </c>
      <c r="AX33" s="1" t="str">
        <f t="shared" si="10"/>
        <v>No</v>
      </c>
      <c r="AY33" s="1">
        <v>0</v>
      </c>
      <c r="AZ33" s="1" t="str">
        <f t="shared" si="11"/>
        <v>No</v>
      </c>
      <c r="BA33" s="1">
        <v>0</v>
      </c>
      <c r="BB33" s="1" t="str">
        <f t="shared" si="12"/>
        <v>No</v>
      </c>
      <c r="BC33" s="1">
        <v>0</v>
      </c>
      <c r="BD33" s="1" t="str">
        <f t="shared" si="13"/>
        <v>No</v>
      </c>
      <c r="BE33" s="1">
        <v>0</v>
      </c>
      <c r="BF33" s="1" t="str">
        <f t="shared" si="14"/>
        <v>No</v>
      </c>
      <c r="BG33" s="1">
        <v>0</v>
      </c>
      <c r="BH33" s="1">
        <v>0.1</v>
      </c>
      <c r="BI33" s="1">
        <v>0.7</v>
      </c>
      <c r="DM33" s="1">
        <v>559786437</v>
      </c>
      <c r="DN33" s="1" t="s">
        <v>297</v>
      </c>
      <c r="DO33" s="2">
        <v>45916.084965277783</v>
      </c>
      <c r="DR33" s="1" t="s">
        <v>121</v>
      </c>
      <c r="DT33" s="1" t="s">
        <v>139</v>
      </c>
      <c r="DV33" s="1">
        <v>34</v>
      </c>
    </row>
    <row r="34" spans="1:126" ht="14.25" customHeight="1" x14ac:dyDescent="0.3">
      <c r="A34" s="2">
        <v>45911.388421215277</v>
      </c>
      <c r="B34" s="2">
        <v>45916.314355937502</v>
      </c>
      <c r="C34" s="1">
        <v>1</v>
      </c>
      <c r="D34" s="1" t="s">
        <v>260</v>
      </c>
      <c r="E34" s="1" t="s">
        <v>298</v>
      </c>
      <c r="F34" s="1" t="s">
        <v>299</v>
      </c>
      <c r="G34" s="1">
        <v>9.7900950000000009</v>
      </c>
      <c r="H34" s="1">
        <v>76.850082</v>
      </c>
      <c r="I34" s="1">
        <v>0</v>
      </c>
      <c r="J34" s="1">
        <v>0</v>
      </c>
      <c r="K34" s="1" t="s">
        <v>113</v>
      </c>
      <c r="L34" s="1" t="s">
        <v>143</v>
      </c>
      <c r="M34" s="1" t="s">
        <v>115</v>
      </c>
      <c r="N34" s="1">
        <v>0</v>
      </c>
      <c r="O34" s="1">
        <v>2300</v>
      </c>
      <c r="P34" s="1">
        <v>2300</v>
      </c>
      <c r="Q34" s="1">
        <v>53</v>
      </c>
      <c r="R34" s="1">
        <v>40</v>
      </c>
      <c r="S34" s="1">
        <v>2</v>
      </c>
      <c r="U34" s="1">
        <v>40</v>
      </c>
      <c r="V34" s="1" t="s">
        <v>288</v>
      </c>
      <c r="W34" s="1" t="s">
        <v>300</v>
      </c>
      <c r="X34" s="1">
        <v>12</v>
      </c>
      <c r="Y34" s="1" t="s">
        <v>118</v>
      </c>
      <c r="Z34" s="1">
        <v>1</v>
      </c>
      <c r="AA34" s="1" t="str">
        <f t="shared" si="0"/>
        <v>Yes</v>
      </c>
      <c r="AB34" s="1">
        <v>0</v>
      </c>
      <c r="AC34" s="1" t="str">
        <f t="shared" si="1"/>
        <v>No</v>
      </c>
      <c r="AD34" s="1">
        <v>1</v>
      </c>
      <c r="AE34" s="1" t="str">
        <f t="shared" si="2"/>
        <v>Yes</v>
      </c>
      <c r="AF34" s="1">
        <v>1</v>
      </c>
      <c r="AG34" s="1" t="str">
        <f t="shared" si="3"/>
        <v>Yes</v>
      </c>
      <c r="AH34" s="1">
        <v>0</v>
      </c>
      <c r="AI34" s="1" t="str">
        <f t="shared" si="4"/>
        <v>No</v>
      </c>
      <c r="AJ34" s="1">
        <v>0</v>
      </c>
      <c r="AK34" s="1" t="str">
        <f t="shared" si="5"/>
        <v>No</v>
      </c>
      <c r="AL34" s="1">
        <v>1</v>
      </c>
      <c r="AM34" s="1" t="str">
        <f t="shared" si="6"/>
        <v>Yes</v>
      </c>
      <c r="AN34" s="1">
        <v>0</v>
      </c>
      <c r="AO34" s="1" t="str">
        <f t="shared" si="7"/>
        <v>No</v>
      </c>
      <c r="AP34" s="1" t="s">
        <v>165</v>
      </c>
      <c r="AQ34" s="1">
        <v>0</v>
      </c>
      <c r="AR34" s="1" t="str">
        <f t="shared" si="15"/>
        <v>No</v>
      </c>
      <c r="AS34" s="1">
        <v>0</v>
      </c>
      <c r="AT34" s="1" t="str">
        <f t="shared" si="8"/>
        <v>No</v>
      </c>
      <c r="AU34" s="1">
        <v>0</v>
      </c>
      <c r="AV34" s="1" t="str">
        <f t="shared" si="9"/>
        <v>No</v>
      </c>
      <c r="AW34" s="1">
        <v>0</v>
      </c>
      <c r="AX34" s="1" t="str">
        <f t="shared" si="10"/>
        <v>No</v>
      </c>
      <c r="AY34" s="1">
        <v>0</v>
      </c>
      <c r="AZ34" s="1" t="str">
        <f t="shared" si="11"/>
        <v>No</v>
      </c>
      <c r="BA34" s="1">
        <v>1</v>
      </c>
      <c r="BB34" s="1" t="str">
        <f t="shared" si="12"/>
        <v>Yes</v>
      </c>
      <c r="BC34" s="1">
        <v>0</v>
      </c>
      <c r="BD34" s="1" t="str">
        <f t="shared" si="13"/>
        <v>No</v>
      </c>
      <c r="BE34" s="1">
        <v>0</v>
      </c>
      <c r="BF34" s="1" t="str">
        <f t="shared" si="14"/>
        <v>No</v>
      </c>
      <c r="BG34" s="1">
        <v>2</v>
      </c>
      <c r="BH34" s="1">
        <v>0.2</v>
      </c>
      <c r="BI34" s="1">
        <v>0.3</v>
      </c>
      <c r="DM34" s="1">
        <v>559786504</v>
      </c>
      <c r="DN34" s="1" t="s">
        <v>301</v>
      </c>
      <c r="DO34" s="2">
        <v>45916.085196759261</v>
      </c>
      <c r="DR34" s="1" t="s">
        <v>121</v>
      </c>
      <c r="DT34" s="1" t="s">
        <v>139</v>
      </c>
      <c r="DV34" s="1">
        <v>35</v>
      </c>
    </row>
    <row r="35" spans="1:126" ht="14.25" customHeight="1" x14ac:dyDescent="0.3">
      <c r="A35" s="2">
        <v>45911.39775546296</v>
      </c>
      <c r="B35" s="2">
        <v>45916.314741944443</v>
      </c>
      <c r="C35" s="1">
        <v>1</v>
      </c>
      <c r="D35" s="1" t="s">
        <v>260</v>
      </c>
      <c r="E35" s="1" t="s">
        <v>302</v>
      </c>
      <c r="F35" s="1" t="s">
        <v>303</v>
      </c>
      <c r="G35" s="1">
        <v>9.9654290000000003</v>
      </c>
      <c r="H35" s="1">
        <v>76.243701999999999</v>
      </c>
      <c r="I35" s="1">
        <v>18.5</v>
      </c>
      <c r="J35" s="1">
        <v>4.2729999999999997</v>
      </c>
      <c r="K35" s="1" t="s">
        <v>113</v>
      </c>
      <c r="L35" s="1" t="s">
        <v>157</v>
      </c>
      <c r="M35" s="1" t="s">
        <v>115</v>
      </c>
      <c r="N35" s="1">
        <v>0</v>
      </c>
      <c r="O35" s="1">
        <v>583</v>
      </c>
      <c r="P35" s="1">
        <v>583</v>
      </c>
      <c r="Q35" s="1">
        <v>20</v>
      </c>
      <c r="R35" s="1">
        <v>20</v>
      </c>
      <c r="S35" s="1">
        <v>11</v>
      </c>
      <c r="T35" s="1">
        <v>10</v>
      </c>
      <c r="U35" s="1">
        <v>18</v>
      </c>
      <c r="V35" s="1" t="s">
        <v>116</v>
      </c>
      <c r="W35" s="1" t="s">
        <v>304</v>
      </c>
      <c r="X35" s="1">
        <v>20</v>
      </c>
      <c r="Y35" s="1" t="s">
        <v>182</v>
      </c>
      <c r="Z35" s="1">
        <v>0</v>
      </c>
      <c r="AA35" s="1" t="str">
        <f t="shared" si="0"/>
        <v>No</v>
      </c>
      <c r="AB35" s="1">
        <v>0</v>
      </c>
      <c r="AC35" s="1" t="str">
        <f t="shared" si="1"/>
        <v>No</v>
      </c>
      <c r="AD35" s="1">
        <v>1</v>
      </c>
      <c r="AE35" s="1" t="str">
        <f t="shared" si="2"/>
        <v>Yes</v>
      </c>
      <c r="AF35" s="1">
        <v>1</v>
      </c>
      <c r="AG35" s="1" t="str">
        <f t="shared" si="3"/>
        <v>Yes</v>
      </c>
      <c r="AH35" s="1">
        <v>0</v>
      </c>
      <c r="AI35" s="1" t="str">
        <f t="shared" si="4"/>
        <v>No</v>
      </c>
      <c r="AJ35" s="1">
        <v>0</v>
      </c>
      <c r="AK35" s="1" t="str">
        <f t="shared" si="5"/>
        <v>No</v>
      </c>
      <c r="AL35" s="1">
        <v>1</v>
      </c>
      <c r="AM35" s="1" t="str">
        <f t="shared" si="6"/>
        <v>Yes</v>
      </c>
      <c r="AN35" s="1">
        <v>0</v>
      </c>
      <c r="AO35" s="1" t="str">
        <f t="shared" si="7"/>
        <v>No</v>
      </c>
      <c r="AP35" s="1" t="s">
        <v>171</v>
      </c>
      <c r="AQ35" s="1">
        <v>1</v>
      </c>
      <c r="AR35" s="1" t="str">
        <f t="shared" si="15"/>
        <v>Yes</v>
      </c>
      <c r="AS35" s="1">
        <v>0</v>
      </c>
      <c r="AT35" s="1" t="str">
        <f t="shared" si="8"/>
        <v>No</v>
      </c>
      <c r="AU35" s="1">
        <v>0</v>
      </c>
      <c r="AV35" s="1" t="str">
        <f t="shared" si="9"/>
        <v>No</v>
      </c>
      <c r="AW35" s="1">
        <v>0</v>
      </c>
      <c r="AX35" s="1" t="str">
        <f t="shared" si="10"/>
        <v>No</v>
      </c>
      <c r="AY35" s="1">
        <v>0</v>
      </c>
      <c r="AZ35" s="1" t="str">
        <f t="shared" si="11"/>
        <v>No</v>
      </c>
      <c r="BA35" s="1">
        <v>1</v>
      </c>
      <c r="BB35" s="1" t="str">
        <f t="shared" si="12"/>
        <v>Yes</v>
      </c>
      <c r="BC35" s="1">
        <v>0</v>
      </c>
      <c r="BD35" s="1" t="str">
        <f t="shared" si="13"/>
        <v>No</v>
      </c>
      <c r="BE35" s="1">
        <v>0</v>
      </c>
      <c r="BF35" s="1" t="str">
        <f t="shared" si="14"/>
        <v>No</v>
      </c>
      <c r="BG35" s="1">
        <v>3</v>
      </c>
      <c r="BH35" s="1">
        <v>0.2</v>
      </c>
      <c r="BI35" s="1">
        <v>0.1</v>
      </c>
      <c r="DM35" s="1">
        <v>559786612</v>
      </c>
      <c r="DN35" s="1" t="s">
        <v>305</v>
      </c>
      <c r="DO35" s="2">
        <v>45916.085578703707</v>
      </c>
      <c r="DR35" s="1" t="s">
        <v>121</v>
      </c>
      <c r="DT35" s="1" t="s">
        <v>139</v>
      </c>
      <c r="DV35" s="1">
        <v>36</v>
      </c>
    </row>
    <row r="36" spans="1:126" ht="14.25" customHeight="1" x14ac:dyDescent="0.3">
      <c r="A36" s="2">
        <v>45911.402259849543</v>
      </c>
      <c r="B36" s="2">
        <v>45916.316343587961</v>
      </c>
      <c r="C36" s="1">
        <v>1</v>
      </c>
      <c r="D36" s="1" t="s">
        <v>260</v>
      </c>
      <c r="E36" s="1" t="s">
        <v>306</v>
      </c>
      <c r="F36" s="1" t="s">
        <v>307</v>
      </c>
      <c r="G36" s="1">
        <v>9.9651300000000003</v>
      </c>
      <c r="H36" s="1">
        <v>76.244112000000001</v>
      </c>
      <c r="I36" s="1">
        <v>-77.599999999999994</v>
      </c>
      <c r="J36" s="1">
        <v>4.2039999999999997</v>
      </c>
      <c r="K36" s="1" t="s">
        <v>113</v>
      </c>
      <c r="L36" s="1" t="s">
        <v>163</v>
      </c>
      <c r="M36" s="1" t="s">
        <v>115</v>
      </c>
      <c r="N36" s="1">
        <v>0</v>
      </c>
      <c r="O36" s="1">
        <v>1505</v>
      </c>
      <c r="P36" s="1">
        <v>1505</v>
      </c>
      <c r="Q36" s="1">
        <v>47</v>
      </c>
      <c r="R36" s="1">
        <v>32</v>
      </c>
      <c r="S36" s="1">
        <v>30</v>
      </c>
      <c r="T36" s="1">
        <v>60</v>
      </c>
      <c r="U36" s="1">
        <v>32</v>
      </c>
      <c r="V36" s="1" t="s">
        <v>116</v>
      </c>
      <c r="W36" s="1" t="s">
        <v>308</v>
      </c>
      <c r="X36" s="1">
        <v>29</v>
      </c>
      <c r="Y36" s="1" t="s">
        <v>118</v>
      </c>
      <c r="Z36" s="1">
        <v>1</v>
      </c>
      <c r="AA36" s="1" t="str">
        <f t="shared" si="0"/>
        <v>Yes</v>
      </c>
      <c r="AB36" s="1">
        <v>0</v>
      </c>
      <c r="AC36" s="1" t="str">
        <f t="shared" si="1"/>
        <v>No</v>
      </c>
      <c r="AD36" s="1">
        <v>1</v>
      </c>
      <c r="AE36" s="1" t="str">
        <f t="shared" si="2"/>
        <v>Yes</v>
      </c>
      <c r="AF36" s="1">
        <v>1</v>
      </c>
      <c r="AG36" s="1" t="str">
        <f t="shared" si="3"/>
        <v>Yes</v>
      </c>
      <c r="AH36" s="1">
        <v>0</v>
      </c>
      <c r="AI36" s="1" t="str">
        <f t="shared" si="4"/>
        <v>No</v>
      </c>
      <c r="AJ36" s="1">
        <v>0</v>
      </c>
      <c r="AK36" s="1" t="str">
        <f t="shared" si="5"/>
        <v>No</v>
      </c>
      <c r="AL36" s="1">
        <v>1</v>
      </c>
      <c r="AM36" s="1" t="str">
        <f t="shared" si="6"/>
        <v>Yes</v>
      </c>
      <c r="AN36" s="1">
        <v>0</v>
      </c>
      <c r="AO36" s="1" t="str">
        <f t="shared" si="7"/>
        <v>No</v>
      </c>
      <c r="AP36" s="1" t="s">
        <v>171</v>
      </c>
      <c r="AQ36" s="1">
        <v>1</v>
      </c>
      <c r="AR36" s="1" t="str">
        <f t="shared" si="15"/>
        <v>Yes</v>
      </c>
      <c r="AS36" s="1">
        <v>0</v>
      </c>
      <c r="AT36" s="1" t="str">
        <f t="shared" si="8"/>
        <v>No</v>
      </c>
      <c r="AU36" s="1">
        <v>0</v>
      </c>
      <c r="AV36" s="1" t="str">
        <f t="shared" si="9"/>
        <v>No</v>
      </c>
      <c r="AW36" s="1">
        <v>0</v>
      </c>
      <c r="AX36" s="1" t="str">
        <f t="shared" si="10"/>
        <v>No</v>
      </c>
      <c r="AY36" s="1">
        <v>0</v>
      </c>
      <c r="AZ36" s="1" t="str">
        <f t="shared" si="11"/>
        <v>No</v>
      </c>
      <c r="BA36" s="1">
        <v>1</v>
      </c>
      <c r="BB36" s="1" t="str">
        <f t="shared" si="12"/>
        <v>Yes</v>
      </c>
      <c r="BC36" s="1">
        <v>0</v>
      </c>
      <c r="BD36" s="1" t="str">
        <f t="shared" si="13"/>
        <v>No</v>
      </c>
      <c r="BE36" s="1">
        <v>0</v>
      </c>
      <c r="BF36" s="1" t="str">
        <f t="shared" si="14"/>
        <v>No</v>
      </c>
      <c r="BG36" s="1">
        <v>3</v>
      </c>
      <c r="BH36" s="1">
        <v>0.2</v>
      </c>
      <c r="BI36" s="1">
        <v>2.1</v>
      </c>
      <c r="DM36" s="1">
        <v>559787329</v>
      </c>
      <c r="DN36" s="1" t="s">
        <v>309</v>
      </c>
      <c r="DO36" s="2">
        <v>45916.087187500001</v>
      </c>
      <c r="DR36" s="1" t="s">
        <v>121</v>
      </c>
      <c r="DT36" s="1" t="s">
        <v>139</v>
      </c>
      <c r="DV36" s="1">
        <v>37</v>
      </c>
    </row>
    <row r="37" spans="1:126" ht="14.25" customHeight="1" x14ac:dyDescent="0.3">
      <c r="A37" s="2">
        <v>45911.393994571758</v>
      </c>
      <c r="B37" s="2">
        <v>45916.379385324071</v>
      </c>
      <c r="C37" s="1">
        <v>13</v>
      </c>
      <c r="D37" s="1" t="s">
        <v>310</v>
      </c>
      <c r="E37" s="1" t="s">
        <v>311</v>
      </c>
      <c r="F37" s="1" t="s">
        <v>312</v>
      </c>
      <c r="G37" s="1">
        <v>9.9226200000000002</v>
      </c>
      <c r="H37" s="1">
        <v>76.281809999999993</v>
      </c>
      <c r="I37" s="1">
        <v>4.34</v>
      </c>
      <c r="J37" s="1">
        <v>3.54</v>
      </c>
      <c r="K37" s="1" t="s">
        <v>142</v>
      </c>
      <c r="L37" s="1" t="s">
        <v>135</v>
      </c>
      <c r="M37" s="1" t="s">
        <v>136</v>
      </c>
      <c r="N37" s="1">
        <v>275</v>
      </c>
      <c r="O37" s="1">
        <v>210</v>
      </c>
      <c r="P37" s="1">
        <v>485</v>
      </c>
      <c r="Q37" s="1">
        <v>40</v>
      </c>
      <c r="R37" s="1">
        <v>28</v>
      </c>
      <c r="S37" s="1">
        <v>15</v>
      </c>
      <c r="T37" s="1">
        <v>35</v>
      </c>
      <c r="U37" s="1">
        <v>18</v>
      </c>
      <c r="V37" s="1" t="s">
        <v>116</v>
      </c>
      <c r="W37" s="1" t="s">
        <v>313</v>
      </c>
      <c r="X37" s="1">
        <v>24</v>
      </c>
      <c r="Y37" s="1" t="s">
        <v>314</v>
      </c>
      <c r="Z37" s="1">
        <v>0</v>
      </c>
      <c r="AA37" s="1" t="str">
        <f t="shared" si="0"/>
        <v>No</v>
      </c>
      <c r="AB37" s="1">
        <v>0</v>
      </c>
      <c r="AC37" s="1" t="str">
        <f t="shared" si="1"/>
        <v>No</v>
      </c>
      <c r="AD37" s="1">
        <v>0</v>
      </c>
      <c r="AE37" s="1" t="str">
        <f t="shared" si="2"/>
        <v>No</v>
      </c>
      <c r="AF37" s="1">
        <v>0</v>
      </c>
      <c r="AG37" s="1" t="str">
        <f t="shared" si="3"/>
        <v>No</v>
      </c>
      <c r="AH37" s="1">
        <v>0</v>
      </c>
      <c r="AI37" s="1" t="str">
        <f t="shared" si="4"/>
        <v>No</v>
      </c>
      <c r="AJ37" s="1">
        <v>0</v>
      </c>
      <c r="AK37" s="1" t="str">
        <f t="shared" si="5"/>
        <v>No</v>
      </c>
      <c r="AL37" s="1">
        <v>1</v>
      </c>
      <c r="AM37" s="1" t="str">
        <f t="shared" si="6"/>
        <v>Yes</v>
      </c>
      <c r="AN37" s="1">
        <v>0</v>
      </c>
      <c r="AO37" s="1" t="str">
        <f t="shared" si="7"/>
        <v>No</v>
      </c>
      <c r="AP37" s="1" t="s">
        <v>165</v>
      </c>
      <c r="AQ37" s="1">
        <v>0</v>
      </c>
      <c r="AR37" s="1" t="str">
        <f t="shared" si="15"/>
        <v>No</v>
      </c>
      <c r="AS37" s="1">
        <v>0</v>
      </c>
      <c r="AT37" s="1" t="str">
        <f t="shared" si="8"/>
        <v>No</v>
      </c>
      <c r="AU37" s="1">
        <v>0</v>
      </c>
      <c r="AV37" s="1" t="str">
        <f t="shared" si="9"/>
        <v>No</v>
      </c>
      <c r="AW37" s="1">
        <v>0</v>
      </c>
      <c r="AX37" s="1" t="str">
        <f t="shared" si="10"/>
        <v>No</v>
      </c>
      <c r="AY37" s="1">
        <v>0</v>
      </c>
      <c r="AZ37" s="1" t="str">
        <f t="shared" si="11"/>
        <v>No</v>
      </c>
      <c r="BA37" s="1">
        <v>1</v>
      </c>
      <c r="BB37" s="1" t="str">
        <f t="shared" si="12"/>
        <v>Yes</v>
      </c>
      <c r="BC37" s="1">
        <v>0</v>
      </c>
      <c r="BD37" s="1" t="str">
        <f t="shared" si="13"/>
        <v>No</v>
      </c>
      <c r="BE37" s="1">
        <v>0</v>
      </c>
      <c r="BF37" s="1" t="str">
        <f t="shared" si="14"/>
        <v>No</v>
      </c>
      <c r="BG37" s="1">
        <v>9</v>
      </c>
      <c r="BH37" s="1">
        <v>2.5</v>
      </c>
      <c r="BI37" s="1">
        <v>4</v>
      </c>
      <c r="DM37" s="1">
        <v>559809167</v>
      </c>
      <c r="DN37" s="1" t="s">
        <v>315</v>
      </c>
      <c r="DO37" s="2">
        <v>45916.150208333333</v>
      </c>
      <c r="DR37" s="1" t="s">
        <v>121</v>
      </c>
      <c r="DT37" s="1" t="s">
        <v>139</v>
      </c>
      <c r="DV37" s="1">
        <v>38</v>
      </c>
    </row>
    <row r="38" spans="1:126" ht="14.25" customHeight="1" x14ac:dyDescent="0.3">
      <c r="A38" s="2">
        <v>45911.405710624997</v>
      </c>
      <c r="B38" s="2">
        <v>45916.379469155087</v>
      </c>
      <c r="C38" s="1">
        <v>13</v>
      </c>
      <c r="D38" s="1" t="s">
        <v>310</v>
      </c>
      <c r="E38" s="1" t="s">
        <v>316</v>
      </c>
      <c r="F38" s="1" t="s">
        <v>317</v>
      </c>
      <c r="G38" s="1">
        <v>9.9251299999999993</v>
      </c>
      <c r="H38" s="1">
        <v>76.276030000000006</v>
      </c>
      <c r="I38" s="1">
        <v>5.9</v>
      </c>
      <c r="J38" s="1">
        <v>7.32</v>
      </c>
      <c r="K38" s="1" t="s">
        <v>134</v>
      </c>
      <c r="L38" s="1" t="s">
        <v>135</v>
      </c>
      <c r="M38" s="1" t="s">
        <v>136</v>
      </c>
      <c r="N38" s="1">
        <v>390</v>
      </c>
      <c r="O38" s="1">
        <v>315</v>
      </c>
      <c r="P38" s="1">
        <v>705</v>
      </c>
      <c r="Q38" s="1">
        <v>35</v>
      </c>
      <c r="R38" s="1">
        <v>18</v>
      </c>
      <c r="S38" s="1">
        <v>11</v>
      </c>
      <c r="T38" s="1">
        <v>35</v>
      </c>
      <c r="U38" s="1">
        <v>14</v>
      </c>
      <c r="V38" s="1" t="s">
        <v>116</v>
      </c>
      <c r="W38" s="1" t="s">
        <v>318</v>
      </c>
      <c r="X38" s="1">
        <v>16</v>
      </c>
      <c r="Y38" s="1" t="s">
        <v>314</v>
      </c>
      <c r="Z38" s="1">
        <v>0</v>
      </c>
      <c r="AA38" s="1" t="str">
        <f t="shared" si="0"/>
        <v>No</v>
      </c>
      <c r="AB38" s="1">
        <v>0</v>
      </c>
      <c r="AC38" s="1" t="str">
        <f t="shared" si="1"/>
        <v>No</v>
      </c>
      <c r="AD38" s="1">
        <v>0</v>
      </c>
      <c r="AE38" s="1" t="str">
        <f t="shared" si="2"/>
        <v>No</v>
      </c>
      <c r="AF38" s="1">
        <v>0</v>
      </c>
      <c r="AG38" s="1" t="str">
        <f t="shared" si="3"/>
        <v>No</v>
      </c>
      <c r="AH38" s="1">
        <v>0</v>
      </c>
      <c r="AI38" s="1" t="str">
        <f t="shared" si="4"/>
        <v>No</v>
      </c>
      <c r="AJ38" s="1">
        <v>0</v>
      </c>
      <c r="AK38" s="1" t="str">
        <f t="shared" si="5"/>
        <v>No</v>
      </c>
      <c r="AL38" s="1">
        <v>1</v>
      </c>
      <c r="AM38" s="1" t="str">
        <f t="shared" si="6"/>
        <v>Yes</v>
      </c>
      <c r="AN38" s="1">
        <v>0</v>
      </c>
      <c r="AO38" s="1" t="str">
        <f t="shared" si="7"/>
        <v>No</v>
      </c>
      <c r="AP38" s="1" t="s">
        <v>165</v>
      </c>
      <c r="AQ38" s="1">
        <v>0</v>
      </c>
      <c r="AR38" s="1" t="str">
        <f t="shared" si="15"/>
        <v>No</v>
      </c>
      <c r="AS38" s="1">
        <v>0</v>
      </c>
      <c r="AT38" s="1" t="str">
        <f t="shared" si="8"/>
        <v>No</v>
      </c>
      <c r="AU38" s="1">
        <v>0</v>
      </c>
      <c r="AV38" s="1" t="str">
        <f t="shared" si="9"/>
        <v>No</v>
      </c>
      <c r="AW38" s="1">
        <v>0</v>
      </c>
      <c r="AX38" s="1" t="str">
        <f t="shared" si="10"/>
        <v>No</v>
      </c>
      <c r="AY38" s="1">
        <v>0</v>
      </c>
      <c r="AZ38" s="1" t="str">
        <f t="shared" si="11"/>
        <v>No</v>
      </c>
      <c r="BA38" s="1">
        <v>1</v>
      </c>
      <c r="BB38" s="1" t="str">
        <f t="shared" si="12"/>
        <v>Yes</v>
      </c>
      <c r="BC38" s="1">
        <v>0</v>
      </c>
      <c r="BD38" s="1" t="str">
        <f t="shared" si="13"/>
        <v>No</v>
      </c>
      <c r="BE38" s="1">
        <v>0</v>
      </c>
      <c r="BF38" s="1" t="str">
        <f t="shared" si="14"/>
        <v>No</v>
      </c>
      <c r="BG38" s="1">
        <v>2</v>
      </c>
      <c r="BH38" s="1">
        <v>0.95</v>
      </c>
      <c r="BI38" s="1">
        <v>3.3</v>
      </c>
      <c r="DM38" s="1">
        <v>559809216</v>
      </c>
      <c r="DN38" s="1" t="s">
        <v>319</v>
      </c>
      <c r="DO38" s="2">
        <v>45916.150289351863</v>
      </c>
      <c r="DR38" s="1" t="s">
        <v>121</v>
      </c>
      <c r="DT38" s="1" t="s">
        <v>139</v>
      </c>
      <c r="DV38" s="1">
        <v>39</v>
      </c>
    </row>
    <row r="39" spans="1:126" ht="14.25" customHeight="1" x14ac:dyDescent="0.3">
      <c r="A39" s="2">
        <v>45911.414572141213</v>
      </c>
      <c r="B39" s="2">
        <v>45916.379670775466</v>
      </c>
      <c r="C39" s="1">
        <v>13</v>
      </c>
      <c r="D39" s="1" t="s">
        <v>310</v>
      </c>
      <c r="E39" s="1" t="s">
        <v>320</v>
      </c>
      <c r="F39" s="1" t="s">
        <v>321</v>
      </c>
      <c r="G39" s="1">
        <v>9.9216730000000002</v>
      </c>
      <c r="H39" s="1">
        <v>76.274259999999998</v>
      </c>
      <c r="I39" s="1">
        <v>11.24</v>
      </c>
      <c r="J39" s="1">
        <v>12.13</v>
      </c>
      <c r="K39" s="1" t="s">
        <v>142</v>
      </c>
      <c r="L39" s="1" t="s">
        <v>191</v>
      </c>
      <c r="M39" s="1" t="s">
        <v>136</v>
      </c>
      <c r="N39" s="1">
        <v>22</v>
      </c>
      <c r="O39" s="1">
        <v>24</v>
      </c>
      <c r="P39" s="1">
        <v>46</v>
      </c>
      <c r="Q39" s="1">
        <v>8</v>
      </c>
      <c r="R39" s="1">
        <v>7</v>
      </c>
      <c r="S39" s="1">
        <v>0</v>
      </c>
      <c r="T39" s="1">
        <v>0</v>
      </c>
      <c r="U39" s="1">
        <v>5</v>
      </c>
      <c r="V39" s="1" t="s">
        <v>116</v>
      </c>
      <c r="W39" s="1" t="s">
        <v>322</v>
      </c>
      <c r="X39" s="1">
        <v>3</v>
      </c>
      <c r="Y39" s="1" t="s">
        <v>165</v>
      </c>
      <c r="Z39" s="1">
        <v>0</v>
      </c>
      <c r="AA39" s="1" t="str">
        <f t="shared" si="0"/>
        <v>No</v>
      </c>
      <c r="AB39" s="1">
        <v>0</v>
      </c>
      <c r="AC39" s="1" t="str">
        <f t="shared" si="1"/>
        <v>No</v>
      </c>
      <c r="AD39" s="1">
        <v>0</v>
      </c>
      <c r="AE39" s="1" t="str">
        <f t="shared" si="2"/>
        <v>No</v>
      </c>
      <c r="AF39" s="1">
        <v>0</v>
      </c>
      <c r="AG39" s="1" t="str">
        <f t="shared" si="3"/>
        <v>No</v>
      </c>
      <c r="AH39" s="1">
        <v>0</v>
      </c>
      <c r="AI39" s="1" t="str">
        <f t="shared" si="4"/>
        <v>No</v>
      </c>
      <c r="AJ39" s="1">
        <v>1</v>
      </c>
      <c r="AK39" s="1" t="str">
        <f t="shared" si="5"/>
        <v>Yes</v>
      </c>
      <c r="AL39" s="1">
        <v>0</v>
      </c>
      <c r="AM39" s="1" t="str">
        <f t="shared" si="6"/>
        <v>No</v>
      </c>
      <c r="AN39" s="1">
        <v>0</v>
      </c>
      <c r="AO39" s="1" t="str">
        <f t="shared" si="7"/>
        <v>No</v>
      </c>
      <c r="AP39" s="1" t="s">
        <v>165</v>
      </c>
      <c r="AQ39" s="1">
        <v>0</v>
      </c>
      <c r="AR39" s="1" t="str">
        <f t="shared" si="15"/>
        <v>No</v>
      </c>
      <c r="AS39" s="1">
        <v>0</v>
      </c>
      <c r="AT39" s="1" t="str">
        <f t="shared" si="8"/>
        <v>No</v>
      </c>
      <c r="AU39" s="1">
        <v>0</v>
      </c>
      <c r="AV39" s="1" t="str">
        <f t="shared" si="9"/>
        <v>No</v>
      </c>
      <c r="AW39" s="1">
        <v>0</v>
      </c>
      <c r="AX39" s="1" t="str">
        <f t="shared" si="10"/>
        <v>No</v>
      </c>
      <c r="AY39" s="1">
        <v>0</v>
      </c>
      <c r="AZ39" s="1" t="str">
        <f t="shared" si="11"/>
        <v>No</v>
      </c>
      <c r="BA39" s="1">
        <v>1</v>
      </c>
      <c r="BB39" s="1" t="str">
        <f t="shared" si="12"/>
        <v>Yes</v>
      </c>
      <c r="BC39" s="1">
        <v>0</v>
      </c>
      <c r="BD39" s="1" t="str">
        <f t="shared" si="13"/>
        <v>No</v>
      </c>
      <c r="BE39" s="1">
        <v>0</v>
      </c>
      <c r="BF39" s="1" t="str">
        <f t="shared" si="14"/>
        <v>No</v>
      </c>
      <c r="BG39" s="1">
        <v>0</v>
      </c>
      <c r="BH39" s="1">
        <v>1</v>
      </c>
      <c r="BI39" s="1">
        <v>0.85</v>
      </c>
      <c r="DM39" s="1">
        <v>559809281</v>
      </c>
      <c r="DN39" s="1" t="s">
        <v>323</v>
      </c>
      <c r="DO39" s="2">
        <v>45916.150497685187</v>
      </c>
      <c r="DR39" s="1" t="s">
        <v>121</v>
      </c>
      <c r="DT39" s="1" t="s">
        <v>139</v>
      </c>
      <c r="DV39" s="1">
        <v>40</v>
      </c>
    </row>
    <row r="40" spans="1:126" ht="14.25" customHeight="1" x14ac:dyDescent="0.3">
      <c r="A40" s="2">
        <v>45911.422267303242</v>
      </c>
      <c r="B40" s="2">
        <v>45916.379808668979</v>
      </c>
      <c r="C40" s="1">
        <v>13</v>
      </c>
      <c r="D40" s="1" t="s">
        <v>310</v>
      </c>
      <c r="E40" s="1" t="s">
        <v>324</v>
      </c>
      <c r="F40" s="1" t="s">
        <v>325</v>
      </c>
      <c r="G40" s="1">
        <v>9.9220100000000002</v>
      </c>
      <c r="H40" s="1">
        <v>76.275620000000004</v>
      </c>
      <c r="I40" s="1">
        <v>16.850000000000001</v>
      </c>
      <c r="J40" s="1">
        <v>3.54</v>
      </c>
      <c r="K40" s="1" t="s">
        <v>142</v>
      </c>
      <c r="L40" s="1" t="s">
        <v>191</v>
      </c>
      <c r="M40" s="1" t="s">
        <v>136</v>
      </c>
      <c r="N40" s="1">
        <v>26</v>
      </c>
      <c r="O40" s="1">
        <v>39</v>
      </c>
      <c r="P40" s="1">
        <v>65</v>
      </c>
      <c r="Q40" s="1">
        <v>4</v>
      </c>
      <c r="R40" s="1">
        <v>4</v>
      </c>
      <c r="S40" s="1">
        <v>2</v>
      </c>
      <c r="T40" s="1">
        <v>3</v>
      </c>
      <c r="U40" s="1">
        <v>4</v>
      </c>
      <c r="V40" s="1" t="s">
        <v>116</v>
      </c>
      <c r="W40" s="1" t="s">
        <v>326</v>
      </c>
      <c r="X40" s="1">
        <v>4</v>
      </c>
      <c r="Y40" s="1" t="s">
        <v>171</v>
      </c>
      <c r="Z40" s="1">
        <v>1</v>
      </c>
      <c r="AA40" s="1" t="str">
        <f t="shared" si="0"/>
        <v>Yes</v>
      </c>
      <c r="AB40" s="1">
        <v>0</v>
      </c>
      <c r="AC40" s="1" t="str">
        <f t="shared" si="1"/>
        <v>No</v>
      </c>
      <c r="AD40" s="1">
        <v>0</v>
      </c>
      <c r="AE40" s="1" t="str">
        <f t="shared" si="2"/>
        <v>No</v>
      </c>
      <c r="AF40" s="1">
        <v>0</v>
      </c>
      <c r="AG40" s="1" t="str">
        <f t="shared" si="3"/>
        <v>No</v>
      </c>
      <c r="AH40" s="1">
        <v>0</v>
      </c>
      <c r="AI40" s="1" t="str">
        <f t="shared" si="4"/>
        <v>No</v>
      </c>
      <c r="AJ40" s="1">
        <v>1</v>
      </c>
      <c r="AK40" s="1" t="str">
        <f t="shared" si="5"/>
        <v>Yes</v>
      </c>
      <c r="AL40" s="1">
        <v>0</v>
      </c>
      <c r="AM40" s="1" t="str">
        <f t="shared" si="6"/>
        <v>No</v>
      </c>
      <c r="AN40" s="1">
        <v>0</v>
      </c>
      <c r="AO40" s="1" t="str">
        <f t="shared" si="7"/>
        <v>No</v>
      </c>
      <c r="AP40" s="1" t="s">
        <v>327</v>
      </c>
      <c r="AQ40" s="1">
        <v>1</v>
      </c>
      <c r="AR40" s="1" t="str">
        <f t="shared" si="15"/>
        <v>Yes</v>
      </c>
      <c r="AS40" s="1">
        <v>0</v>
      </c>
      <c r="AT40" s="1" t="str">
        <f t="shared" si="8"/>
        <v>No</v>
      </c>
      <c r="AU40" s="1">
        <v>0</v>
      </c>
      <c r="AV40" s="1" t="str">
        <f t="shared" si="9"/>
        <v>No</v>
      </c>
      <c r="AW40" s="1">
        <v>0</v>
      </c>
      <c r="AX40" s="1" t="str">
        <f t="shared" si="10"/>
        <v>No</v>
      </c>
      <c r="AY40" s="1">
        <v>0</v>
      </c>
      <c r="AZ40" s="1" t="str">
        <f t="shared" si="11"/>
        <v>No</v>
      </c>
      <c r="BA40" s="1">
        <v>0</v>
      </c>
      <c r="BB40" s="1" t="str">
        <f t="shared" si="12"/>
        <v>No</v>
      </c>
      <c r="BC40" s="1">
        <v>1</v>
      </c>
      <c r="BD40" s="1" t="str">
        <f t="shared" si="13"/>
        <v>Yes</v>
      </c>
      <c r="BE40" s="1">
        <v>0</v>
      </c>
      <c r="BF40" s="1" t="str">
        <f t="shared" si="14"/>
        <v>No</v>
      </c>
      <c r="BG40" s="1">
        <v>2</v>
      </c>
      <c r="BH40" s="1">
        <v>0.39</v>
      </c>
      <c r="BI40" s="1">
        <v>1</v>
      </c>
      <c r="DM40" s="1">
        <v>559809324</v>
      </c>
      <c r="DN40" s="1" t="s">
        <v>328</v>
      </c>
      <c r="DO40" s="2">
        <v>45916.150636574072</v>
      </c>
      <c r="DR40" s="1" t="s">
        <v>121</v>
      </c>
      <c r="DT40" s="1" t="s">
        <v>139</v>
      </c>
      <c r="DV40" s="1">
        <v>41</v>
      </c>
    </row>
    <row r="41" spans="1:126" ht="14.25" customHeight="1" x14ac:dyDescent="0.3">
      <c r="A41" s="2">
        <v>45911.428401458332</v>
      </c>
      <c r="B41" s="2">
        <v>45916.380066458332</v>
      </c>
      <c r="C41" s="1">
        <v>13</v>
      </c>
      <c r="D41" s="1" t="s">
        <v>310</v>
      </c>
      <c r="E41" s="1" t="s">
        <v>329</v>
      </c>
      <c r="F41" s="1" t="s">
        <v>330</v>
      </c>
      <c r="G41" s="1">
        <v>9.9206850000000006</v>
      </c>
      <c r="H41" s="1">
        <v>76.273978</v>
      </c>
      <c r="I41" s="1">
        <v>8.48</v>
      </c>
      <c r="J41" s="1">
        <v>3.53</v>
      </c>
      <c r="K41" s="1" t="s">
        <v>142</v>
      </c>
      <c r="L41" s="1" t="s">
        <v>191</v>
      </c>
      <c r="M41" s="1" t="s">
        <v>136</v>
      </c>
      <c r="N41" s="1">
        <v>11</v>
      </c>
      <c r="O41" s="1">
        <v>9</v>
      </c>
      <c r="Q41" s="1">
        <v>20</v>
      </c>
      <c r="R41" s="1">
        <v>3</v>
      </c>
      <c r="S41" s="1">
        <v>0</v>
      </c>
      <c r="T41" s="1">
        <v>0</v>
      </c>
      <c r="U41" s="1">
        <v>2</v>
      </c>
      <c r="V41" s="1" t="s">
        <v>288</v>
      </c>
      <c r="W41" s="1" t="s">
        <v>331</v>
      </c>
      <c r="X41" s="1">
        <v>3</v>
      </c>
      <c r="Y41" s="1" t="s">
        <v>165</v>
      </c>
      <c r="Z41" s="1">
        <v>0</v>
      </c>
      <c r="AA41" s="1" t="str">
        <f t="shared" si="0"/>
        <v>No</v>
      </c>
      <c r="AB41" s="1">
        <v>0</v>
      </c>
      <c r="AC41" s="1" t="str">
        <f t="shared" si="1"/>
        <v>No</v>
      </c>
      <c r="AD41" s="1">
        <v>0</v>
      </c>
      <c r="AE41" s="1" t="str">
        <f t="shared" si="2"/>
        <v>No</v>
      </c>
      <c r="AF41" s="1">
        <v>0</v>
      </c>
      <c r="AG41" s="1" t="str">
        <f t="shared" si="3"/>
        <v>No</v>
      </c>
      <c r="AH41" s="1">
        <v>0</v>
      </c>
      <c r="AI41" s="1" t="str">
        <f t="shared" si="4"/>
        <v>No</v>
      </c>
      <c r="AJ41" s="1">
        <v>1</v>
      </c>
      <c r="AK41" s="1" t="str">
        <f t="shared" si="5"/>
        <v>Yes</v>
      </c>
      <c r="AL41" s="1">
        <v>0</v>
      </c>
      <c r="AM41" s="1" t="str">
        <f t="shared" si="6"/>
        <v>No</v>
      </c>
      <c r="AN41" s="1">
        <v>0</v>
      </c>
      <c r="AO41" s="1" t="str">
        <f t="shared" si="7"/>
        <v>No</v>
      </c>
      <c r="AP41" s="1" t="s">
        <v>165</v>
      </c>
      <c r="AQ41" s="1">
        <v>0</v>
      </c>
      <c r="AR41" s="1" t="str">
        <f t="shared" si="15"/>
        <v>No</v>
      </c>
      <c r="AS41" s="1">
        <v>0</v>
      </c>
      <c r="AT41" s="1" t="str">
        <f t="shared" si="8"/>
        <v>No</v>
      </c>
      <c r="AU41" s="1">
        <v>0</v>
      </c>
      <c r="AV41" s="1" t="str">
        <f t="shared" si="9"/>
        <v>No</v>
      </c>
      <c r="AW41" s="1">
        <v>0</v>
      </c>
      <c r="AX41" s="1" t="str">
        <f t="shared" si="10"/>
        <v>No</v>
      </c>
      <c r="AY41" s="1">
        <v>0</v>
      </c>
      <c r="AZ41" s="1" t="str">
        <f t="shared" si="11"/>
        <v>No</v>
      </c>
      <c r="BA41" s="1">
        <v>1</v>
      </c>
      <c r="BB41" s="1" t="str">
        <f t="shared" si="12"/>
        <v>Yes</v>
      </c>
      <c r="BC41" s="1">
        <v>0</v>
      </c>
      <c r="BD41" s="1" t="str">
        <f t="shared" si="13"/>
        <v>No</v>
      </c>
      <c r="BE41" s="1">
        <v>0</v>
      </c>
      <c r="BF41" s="1" t="str">
        <f t="shared" si="14"/>
        <v>No</v>
      </c>
      <c r="BG41" s="1">
        <v>0</v>
      </c>
      <c r="BH41" s="1">
        <v>1</v>
      </c>
      <c r="BI41" s="1">
        <v>0.5</v>
      </c>
      <c r="DM41" s="1">
        <v>559809419</v>
      </c>
      <c r="DN41" s="1" t="s">
        <v>332</v>
      </c>
      <c r="DO41" s="2">
        <v>45916.150891203702</v>
      </c>
      <c r="DR41" s="1" t="s">
        <v>121</v>
      </c>
      <c r="DT41" s="1" t="s">
        <v>139</v>
      </c>
      <c r="DV41" s="1">
        <v>42</v>
      </c>
    </row>
    <row r="42" spans="1:126" ht="14.25" customHeight="1" x14ac:dyDescent="0.3">
      <c r="A42" s="2">
        <v>45911.483146250001</v>
      </c>
      <c r="B42" s="2">
        <v>45916.380253703697</v>
      </c>
      <c r="C42" s="1">
        <v>20</v>
      </c>
      <c r="D42" s="1" t="s">
        <v>333</v>
      </c>
      <c r="E42" s="1" t="s">
        <v>334</v>
      </c>
      <c r="F42" s="1" t="s">
        <v>335</v>
      </c>
      <c r="G42" s="1">
        <v>9.9138120000000001</v>
      </c>
      <c r="H42" s="1">
        <v>76.268800999999996</v>
      </c>
      <c r="I42" s="1">
        <v>6.16</v>
      </c>
      <c r="J42" s="1">
        <v>12.12</v>
      </c>
      <c r="K42" s="1" t="s">
        <v>142</v>
      </c>
      <c r="L42" s="1" t="s">
        <v>157</v>
      </c>
      <c r="M42" s="1" t="s">
        <v>115</v>
      </c>
      <c r="N42" s="1">
        <v>36</v>
      </c>
      <c r="O42" s="1">
        <v>42</v>
      </c>
      <c r="P42" s="1">
        <v>78</v>
      </c>
      <c r="Q42" s="1">
        <v>5</v>
      </c>
      <c r="R42" s="1">
        <v>5</v>
      </c>
      <c r="S42" s="1">
        <v>0</v>
      </c>
      <c r="T42" s="1">
        <v>0</v>
      </c>
      <c r="U42" s="1">
        <v>4</v>
      </c>
      <c r="V42" s="1" t="s">
        <v>116</v>
      </c>
      <c r="W42" s="1" t="s">
        <v>336</v>
      </c>
      <c r="X42" s="1">
        <v>6</v>
      </c>
      <c r="Y42" s="1" t="s">
        <v>268</v>
      </c>
      <c r="Z42" s="1">
        <v>0</v>
      </c>
      <c r="AA42" s="1" t="str">
        <f t="shared" si="0"/>
        <v>No</v>
      </c>
      <c r="AB42" s="1">
        <v>0</v>
      </c>
      <c r="AC42" s="1" t="str">
        <f t="shared" si="1"/>
        <v>No</v>
      </c>
      <c r="AD42" s="1">
        <v>1</v>
      </c>
      <c r="AE42" s="1" t="str">
        <f t="shared" si="2"/>
        <v>Yes</v>
      </c>
      <c r="AF42" s="1">
        <v>0</v>
      </c>
      <c r="AG42" s="1" t="str">
        <f t="shared" si="3"/>
        <v>No</v>
      </c>
      <c r="AH42" s="1">
        <v>0</v>
      </c>
      <c r="AI42" s="1" t="str">
        <f t="shared" si="4"/>
        <v>No</v>
      </c>
      <c r="AJ42" s="1">
        <v>0</v>
      </c>
      <c r="AK42" s="1" t="str">
        <f t="shared" si="5"/>
        <v>No</v>
      </c>
      <c r="AL42" s="1">
        <v>0</v>
      </c>
      <c r="AM42" s="1" t="str">
        <f t="shared" si="6"/>
        <v>No</v>
      </c>
      <c r="AN42" s="1">
        <v>1</v>
      </c>
      <c r="AO42" s="1" t="str">
        <f t="shared" si="7"/>
        <v>Yes</v>
      </c>
      <c r="AP42" s="1" t="s">
        <v>337</v>
      </c>
      <c r="AQ42" s="1">
        <v>0</v>
      </c>
      <c r="AR42" s="1" t="str">
        <f t="shared" si="15"/>
        <v>No</v>
      </c>
      <c r="AS42" s="1">
        <v>0</v>
      </c>
      <c r="AT42" s="1" t="str">
        <f t="shared" si="8"/>
        <v>No</v>
      </c>
      <c r="AU42" s="1">
        <v>1</v>
      </c>
      <c r="AV42" s="1" t="str">
        <f t="shared" si="9"/>
        <v>Yes</v>
      </c>
      <c r="AW42" s="1">
        <v>0</v>
      </c>
      <c r="AX42" s="1" t="str">
        <f t="shared" si="10"/>
        <v>No</v>
      </c>
      <c r="AY42" s="1">
        <v>0</v>
      </c>
      <c r="AZ42" s="1" t="str">
        <f t="shared" si="11"/>
        <v>No</v>
      </c>
      <c r="BA42" s="1">
        <v>1</v>
      </c>
      <c r="BB42" s="1" t="str">
        <f t="shared" si="12"/>
        <v>Yes</v>
      </c>
      <c r="BC42" s="1">
        <v>0</v>
      </c>
      <c r="BD42" s="1" t="str">
        <f t="shared" si="13"/>
        <v>No</v>
      </c>
      <c r="BE42" s="1">
        <v>0</v>
      </c>
      <c r="BF42" s="1" t="str">
        <f t="shared" si="14"/>
        <v>No</v>
      </c>
      <c r="BG42" s="1">
        <v>0</v>
      </c>
      <c r="BH42" s="1">
        <v>0.09</v>
      </c>
      <c r="BI42" s="1">
        <v>0.35</v>
      </c>
      <c r="DM42" s="1">
        <v>559809479</v>
      </c>
      <c r="DN42" s="1" t="s">
        <v>338</v>
      </c>
      <c r="DO42" s="2">
        <v>45916.151076388887</v>
      </c>
      <c r="DR42" s="1" t="s">
        <v>121</v>
      </c>
      <c r="DT42" s="1" t="s">
        <v>139</v>
      </c>
      <c r="DV42" s="1">
        <v>43</v>
      </c>
    </row>
    <row r="43" spans="1:126" ht="14.25" customHeight="1" x14ac:dyDescent="0.3">
      <c r="A43" s="2">
        <v>45911.456274780103</v>
      </c>
      <c r="B43" s="2">
        <v>45916.380390289349</v>
      </c>
      <c r="C43" s="1">
        <v>22</v>
      </c>
      <c r="D43" s="1" t="s">
        <v>339</v>
      </c>
      <c r="E43" s="1" t="s">
        <v>340</v>
      </c>
      <c r="F43" s="1" t="s">
        <v>341</v>
      </c>
      <c r="G43" s="1">
        <v>9.9233670000000007</v>
      </c>
      <c r="H43" s="1">
        <v>76.255847000000003</v>
      </c>
      <c r="I43" s="1">
        <v>8.08</v>
      </c>
      <c r="J43" s="1">
        <v>3.54</v>
      </c>
      <c r="K43" s="1" t="s">
        <v>113</v>
      </c>
      <c r="L43" s="1" t="s">
        <v>157</v>
      </c>
      <c r="M43" s="1" t="s">
        <v>115</v>
      </c>
      <c r="N43" s="1">
        <v>103</v>
      </c>
      <c r="O43" s="1">
        <v>62</v>
      </c>
      <c r="P43" s="1">
        <v>165</v>
      </c>
      <c r="Q43" s="1">
        <v>4</v>
      </c>
      <c r="R43" s="1">
        <v>6</v>
      </c>
      <c r="S43" s="1">
        <v>3</v>
      </c>
      <c r="T43" s="1">
        <v>8</v>
      </c>
      <c r="U43" s="1">
        <v>9</v>
      </c>
      <c r="V43" s="1" t="s">
        <v>116</v>
      </c>
      <c r="W43" s="1" t="s">
        <v>342</v>
      </c>
      <c r="X43" s="1">
        <v>6</v>
      </c>
      <c r="Y43" s="1" t="s">
        <v>268</v>
      </c>
      <c r="Z43" s="1">
        <v>0</v>
      </c>
      <c r="AA43" s="1" t="str">
        <f t="shared" si="0"/>
        <v>No</v>
      </c>
      <c r="AB43" s="1">
        <v>0</v>
      </c>
      <c r="AC43" s="1" t="str">
        <f t="shared" si="1"/>
        <v>No</v>
      </c>
      <c r="AD43" s="1">
        <v>1</v>
      </c>
      <c r="AE43" s="1" t="str">
        <f t="shared" si="2"/>
        <v>Yes</v>
      </c>
      <c r="AF43" s="1">
        <v>0</v>
      </c>
      <c r="AG43" s="1" t="str">
        <f t="shared" si="3"/>
        <v>No</v>
      </c>
      <c r="AH43" s="1">
        <v>0</v>
      </c>
      <c r="AI43" s="1" t="str">
        <f t="shared" si="4"/>
        <v>No</v>
      </c>
      <c r="AJ43" s="1">
        <v>0</v>
      </c>
      <c r="AK43" s="1" t="str">
        <f t="shared" si="5"/>
        <v>No</v>
      </c>
      <c r="AL43" s="1">
        <v>0</v>
      </c>
      <c r="AM43" s="1" t="str">
        <f t="shared" si="6"/>
        <v>No</v>
      </c>
      <c r="AN43" s="1">
        <v>1</v>
      </c>
      <c r="AO43" s="1" t="str">
        <f t="shared" si="7"/>
        <v>Yes</v>
      </c>
      <c r="AP43" s="1" t="s">
        <v>296</v>
      </c>
      <c r="AQ43" s="1">
        <v>1</v>
      </c>
      <c r="AR43" s="1" t="str">
        <f t="shared" si="15"/>
        <v>Yes</v>
      </c>
      <c r="AS43" s="1">
        <v>0</v>
      </c>
      <c r="AT43" s="1" t="str">
        <f t="shared" si="8"/>
        <v>No</v>
      </c>
      <c r="AU43" s="1">
        <v>0</v>
      </c>
      <c r="AV43" s="1" t="str">
        <f t="shared" si="9"/>
        <v>No</v>
      </c>
      <c r="AW43" s="1">
        <v>0</v>
      </c>
      <c r="AX43" s="1" t="str">
        <f t="shared" si="10"/>
        <v>No</v>
      </c>
      <c r="AY43" s="1">
        <v>0</v>
      </c>
      <c r="AZ43" s="1" t="str">
        <f t="shared" si="11"/>
        <v>No</v>
      </c>
      <c r="BA43" s="1">
        <v>0</v>
      </c>
      <c r="BB43" s="1" t="str">
        <f t="shared" si="12"/>
        <v>No</v>
      </c>
      <c r="BC43" s="1">
        <v>0</v>
      </c>
      <c r="BD43" s="1" t="str">
        <f t="shared" si="13"/>
        <v>No</v>
      </c>
      <c r="BE43" s="1">
        <v>0</v>
      </c>
      <c r="BF43" s="1" t="str">
        <f t="shared" si="14"/>
        <v>No</v>
      </c>
      <c r="BG43" s="1">
        <v>0</v>
      </c>
      <c r="BH43" s="1">
        <v>0.95</v>
      </c>
      <c r="BI43" s="1">
        <v>0.05</v>
      </c>
      <c r="DM43" s="1">
        <v>559809528</v>
      </c>
      <c r="DN43" s="1" t="s">
        <v>343</v>
      </c>
      <c r="DO43" s="2">
        <v>45916.15121527778</v>
      </c>
      <c r="DR43" s="1" t="s">
        <v>121</v>
      </c>
      <c r="DT43" s="1" t="s">
        <v>139</v>
      </c>
      <c r="DV43" s="1">
        <v>44</v>
      </c>
    </row>
    <row r="44" spans="1:126" ht="14.25" customHeight="1" x14ac:dyDescent="0.3">
      <c r="A44" s="2">
        <v>45911.434626087961</v>
      </c>
      <c r="B44" s="2">
        <v>45916.38076497685</v>
      </c>
      <c r="C44" s="1">
        <v>22</v>
      </c>
      <c r="D44" s="1" t="s">
        <v>339</v>
      </c>
      <c r="E44" s="1" t="s">
        <v>344</v>
      </c>
      <c r="F44" s="1" t="s">
        <v>341</v>
      </c>
      <c r="G44" s="1">
        <v>9.9233670000000007</v>
      </c>
      <c r="H44" s="1">
        <v>76.255847000000003</v>
      </c>
      <c r="I44" s="1">
        <v>8.08</v>
      </c>
      <c r="J44" s="1">
        <v>3.54</v>
      </c>
      <c r="K44" s="1" t="s">
        <v>113</v>
      </c>
      <c r="L44" s="1" t="s">
        <v>143</v>
      </c>
      <c r="M44" s="1" t="s">
        <v>115</v>
      </c>
      <c r="N44" s="1">
        <v>267</v>
      </c>
      <c r="O44" s="1">
        <v>91</v>
      </c>
      <c r="P44" s="1">
        <v>358</v>
      </c>
      <c r="Q44" s="1">
        <v>13</v>
      </c>
      <c r="R44" s="1">
        <v>12</v>
      </c>
      <c r="S44" s="1">
        <v>12</v>
      </c>
      <c r="T44" s="1">
        <v>20</v>
      </c>
      <c r="U44" s="1">
        <v>16</v>
      </c>
      <c r="V44" s="1" t="s">
        <v>116</v>
      </c>
      <c r="W44" s="1" t="s">
        <v>345</v>
      </c>
      <c r="X44" s="1">
        <v>9</v>
      </c>
      <c r="Y44" s="1" t="s">
        <v>159</v>
      </c>
      <c r="Z44" s="1">
        <v>0</v>
      </c>
      <c r="AA44" s="1" t="str">
        <f t="shared" si="0"/>
        <v>No</v>
      </c>
      <c r="AB44" s="1">
        <v>0</v>
      </c>
      <c r="AC44" s="1" t="str">
        <f t="shared" si="1"/>
        <v>No</v>
      </c>
      <c r="AD44" s="1">
        <v>0</v>
      </c>
      <c r="AE44" s="1" t="str">
        <f t="shared" si="2"/>
        <v>No</v>
      </c>
      <c r="AF44" s="1">
        <v>0</v>
      </c>
      <c r="AG44" s="1" t="str">
        <f t="shared" si="3"/>
        <v>No</v>
      </c>
      <c r="AH44" s="1">
        <v>0</v>
      </c>
      <c r="AI44" s="1" t="str">
        <f t="shared" si="4"/>
        <v>No</v>
      </c>
      <c r="AJ44" s="1">
        <v>1</v>
      </c>
      <c r="AK44" s="1" t="str">
        <f t="shared" si="5"/>
        <v>Yes</v>
      </c>
      <c r="AL44" s="1">
        <v>0</v>
      </c>
      <c r="AM44" s="1" t="str">
        <f t="shared" si="6"/>
        <v>No</v>
      </c>
      <c r="AN44" s="1">
        <v>1</v>
      </c>
      <c r="AO44" s="1" t="str">
        <f t="shared" si="7"/>
        <v>Yes</v>
      </c>
      <c r="AP44" s="1" t="s">
        <v>296</v>
      </c>
      <c r="AQ44" s="1">
        <v>1</v>
      </c>
      <c r="AR44" s="1" t="str">
        <f t="shared" si="15"/>
        <v>Yes</v>
      </c>
      <c r="AS44" s="1">
        <v>0</v>
      </c>
      <c r="AT44" s="1" t="str">
        <f t="shared" si="8"/>
        <v>No</v>
      </c>
      <c r="AU44" s="1">
        <v>0</v>
      </c>
      <c r="AV44" s="1" t="str">
        <f t="shared" si="9"/>
        <v>No</v>
      </c>
      <c r="AW44" s="1">
        <v>0</v>
      </c>
      <c r="AX44" s="1" t="str">
        <f t="shared" si="10"/>
        <v>No</v>
      </c>
      <c r="AY44" s="1">
        <v>0</v>
      </c>
      <c r="AZ44" s="1" t="str">
        <f t="shared" si="11"/>
        <v>No</v>
      </c>
      <c r="BA44" s="1">
        <v>0</v>
      </c>
      <c r="BB44" s="1" t="str">
        <f t="shared" si="12"/>
        <v>No</v>
      </c>
      <c r="BC44" s="1">
        <v>0</v>
      </c>
      <c r="BD44" s="1" t="str">
        <f t="shared" si="13"/>
        <v>No</v>
      </c>
      <c r="BE44" s="1">
        <v>0</v>
      </c>
      <c r="BF44" s="1" t="str">
        <f t="shared" si="14"/>
        <v>No</v>
      </c>
      <c r="BG44" s="1">
        <v>0</v>
      </c>
      <c r="BH44" s="1">
        <v>0.95</v>
      </c>
      <c r="BI44" s="1">
        <v>4.8</v>
      </c>
      <c r="DM44" s="1">
        <v>559809651</v>
      </c>
      <c r="DN44" s="1" t="s">
        <v>346</v>
      </c>
      <c r="DO44" s="2">
        <v>45916.151585648149</v>
      </c>
      <c r="DR44" s="1" t="s">
        <v>121</v>
      </c>
      <c r="DT44" s="1" t="s">
        <v>139</v>
      </c>
      <c r="DV44" s="1">
        <v>45</v>
      </c>
    </row>
    <row r="45" spans="1:126" ht="14.25" customHeight="1" x14ac:dyDescent="0.3">
      <c r="A45" s="2">
        <v>45911.477832881938</v>
      </c>
      <c r="B45" s="2">
        <v>45916.380903159719</v>
      </c>
      <c r="C45" s="1">
        <v>22</v>
      </c>
      <c r="D45" s="1" t="s">
        <v>339</v>
      </c>
      <c r="E45" s="1" t="s">
        <v>347</v>
      </c>
      <c r="F45" s="1" t="s">
        <v>348</v>
      </c>
      <c r="G45" s="1">
        <v>9.9291440000000009</v>
      </c>
      <c r="H45" s="1">
        <v>76.254627999999997</v>
      </c>
      <c r="I45" s="1">
        <v>8.67</v>
      </c>
      <c r="J45" s="1">
        <v>3.35</v>
      </c>
      <c r="K45" s="1" t="s">
        <v>142</v>
      </c>
      <c r="L45" s="1" t="s">
        <v>135</v>
      </c>
      <c r="M45" s="1" t="s">
        <v>151</v>
      </c>
      <c r="N45" s="1">
        <v>779</v>
      </c>
      <c r="O45" s="1">
        <v>701</v>
      </c>
      <c r="P45" s="1">
        <v>1480</v>
      </c>
      <c r="Q45" s="1">
        <v>62</v>
      </c>
      <c r="R45" s="1">
        <v>37</v>
      </c>
      <c r="S45" s="1">
        <v>37</v>
      </c>
      <c r="T45" s="1">
        <v>120</v>
      </c>
      <c r="U45" s="1">
        <v>10</v>
      </c>
      <c r="V45" s="1" t="s">
        <v>116</v>
      </c>
      <c r="W45" s="1" t="s">
        <v>349</v>
      </c>
      <c r="X45" s="1">
        <v>52</v>
      </c>
      <c r="Y45" s="1" t="s">
        <v>337</v>
      </c>
      <c r="Z45" s="1">
        <v>0</v>
      </c>
      <c r="AA45" s="1" t="str">
        <f t="shared" si="0"/>
        <v>No</v>
      </c>
      <c r="AB45" s="1">
        <v>0</v>
      </c>
      <c r="AC45" s="1" t="str">
        <f t="shared" si="1"/>
        <v>No</v>
      </c>
      <c r="AD45" s="1">
        <v>1</v>
      </c>
      <c r="AE45" s="1" t="str">
        <f t="shared" si="2"/>
        <v>Yes</v>
      </c>
      <c r="AF45" s="1">
        <v>0</v>
      </c>
      <c r="AG45" s="1" t="str">
        <f t="shared" si="3"/>
        <v>No</v>
      </c>
      <c r="AH45" s="1">
        <v>0</v>
      </c>
      <c r="AI45" s="1" t="str">
        <f t="shared" si="4"/>
        <v>No</v>
      </c>
      <c r="AJ45" s="1">
        <v>1</v>
      </c>
      <c r="AK45" s="1" t="str">
        <f t="shared" si="5"/>
        <v>Yes</v>
      </c>
      <c r="AL45" s="1">
        <v>0</v>
      </c>
      <c r="AM45" s="1" t="str">
        <f t="shared" si="6"/>
        <v>No</v>
      </c>
      <c r="AN45" s="1">
        <v>0</v>
      </c>
      <c r="AO45" s="1" t="str">
        <f t="shared" si="7"/>
        <v>No</v>
      </c>
      <c r="AP45" s="1" t="s">
        <v>337</v>
      </c>
      <c r="AQ45" s="1">
        <v>0</v>
      </c>
      <c r="AR45" s="1" t="str">
        <f t="shared" si="15"/>
        <v>No</v>
      </c>
      <c r="AS45" s="1">
        <v>0</v>
      </c>
      <c r="AT45" s="1" t="str">
        <f t="shared" si="8"/>
        <v>No</v>
      </c>
      <c r="AU45" s="1">
        <v>1</v>
      </c>
      <c r="AV45" s="1" t="str">
        <f t="shared" si="9"/>
        <v>Yes</v>
      </c>
      <c r="AW45" s="1">
        <v>0</v>
      </c>
      <c r="AX45" s="1" t="str">
        <f t="shared" si="10"/>
        <v>No</v>
      </c>
      <c r="AY45" s="1">
        <v>0</v>
      </c>
      <c r="AZ45" s="1" t="str">
        <f t="shared" si="11"/>
        <v>No</v>
      </c>
      <c r="BA45" s="1">
        <v>1</v>
      </c>
      <c r="BB45" s="1" t="str">
        <f t="shared" si="12"/>
        <v>Yes</v>
      </c>
      <c r="BC45" s="1">
        <v>0</v>
      </c>
      <c r="BD45" s="1" t="str">
        <f t="shared" si="13"/>
        <v>No</v>
      </c>
      <c r="BE45" s="1">
        <v>0</v>
      </c>
      <c r="BF45" s="1" t="str">
        <f t="shared" si="14"/>
        <v>No</v>
      </c>
      <c r="BG45" s="1">
        <v>0</v>
      </c>
      <c r="BH45" s="1">
        <v>300</v>
      </c>
      <c r="BI45" s="1">
        <v>4</v>
      </c>
      <c r="DM45" s="1">
        <v>559809698</v>
      </c>
      <c r="DN45" s="1" t="s">
        <v>350</v>
      </c>
      <c r="DO45" s="2">
        <v>45916.151724537027</v>
      </c>
      <c r="DR45" s="1" t="s">
        <v>121</v>
      </c>
      <c r="DT45" s="1" t="s">
        <v>139</v>
      </c>
      <c r="DV45" s="1">
        <v>46</v>
      </c>
    </row>
    <row r="46" spans="1:126" ht="14.25" customHeight="1" x14ac:dyDescent="0.3">
      <c r="A46" s="2">
        <v>45912.925683067129</v>
      </c>
      <c r="B46" s="2">
        <v>45916.381002789349</v>
      </c>
      <c r="C46" s="1">
        <v>22</v>
      </c>
      <c r="D46" s="1" t="s">
        <v>339</v>
      </c>
      <c r="E46" s="1" t="s">
        <v>351</v>
      </c>
      <c r="F46" s="1" t="s">
        <v>352</v>
      </c>
      <c r="G46" s="1">
        <v>9.933484</v>
      </c>
      <c r="H46" s="1">
        <v>76.254070999999996</v>
      </c>
      <c r="I46" s="1">
        <v>14.8</v>
      </c>
      <c r="J46" s="1">
        <v>3.75</v>
      </c>
      <c r="K46" s="1" t="s">
        <v>142</v>
      </c>
      <c r="L46" s="1" t="s">
        <v>135</v>
      </c>
      <c r="M46" s="1" t="s">
        <v>136</v>
      </c>
      <c r="N46" s="1">
        <v>670</v>
      </c>
      <c r="O46" s="1">
        <v>460</v>
      </c>
      <c r="P46" s="1">
        <v>1130</v>
      </c>
      <c r="Q46" s="1">
        <v>53</v>
      </c>
      <c r="R46" s="1">
        <v>35</v>
      </c>
      <c r="S46" s="1">
        <v>26</v>
      </c>
      <c r="T46" s="1">
        <v>20</v>
      </c>
      <c r="U46" s="1">
        <v>39</v>
      </c>
      <c r="V46" s="1" t="s">
        <v>116</v>
      </c>
      <c r="W46" s="1" t="s">
        <v>349</v>
      </c>
      <c r="X46" s="1">
        <v>32</v>
      </c>
      <c r="Y46" s="1" t="s">
        <v>146</v>
      </c>
      <c r="Z46" s="1">
        <v>0</v>
      </c>
      <c r="AA46" s="1" t="str">
        <f t="shared" si="0"/>
        <v>No</v>
      </c>
      <c r="AB46" s="1">
        <v>0</v>
      </c>
      <c r="AC46" s="1" t="str">
        <f t="shared" si="1"/>
        <v>No</v>
      </c>
      <c r="AD46" s="1">
        <v>0</v>
      </c>
      <c r="AE46" s="1" t="str">
        <f t="shared" si="2"/>
        <v>No</v>
      </c>
      <c r="AF46" s="1">
        <v>0</v>
      </c>
      <c r="AG46" s="1" t="str">
        <f t="shared" si="3"/>
        <v>No</v>
      </c>
      <c r="AH46" s="1">
        <v>0</v>
      </c>
      <c r="AI46" s="1" t="str">
        <f t="shared" si="4"/>
        <v>No</v>
      </c>
      <c r="AJ46" s="1">
        <v>1</v>
      </c>
      <c r="AK46" s="1" t="str">
        <f t="shared" si="5"/>
        <v>Yes</v>
      </c>
      <c r="AL46" s="1">
        <v>1</v>
      </c>
      <c r="AM46" s="1" t="str">
        <f t="shared" si="6"/>
        <v>Yes</v>
      </c>
      <c r="AN46" s="1">
        <v>0</v>
      </c>
      <c r="AO46" s="1" t="str">
        <f t="shared" si="7"/>
        <v>No</v>
      </c>
      <c r="AP46" s="1" t="s">
        <v>165</v>
      </c>
      <c r="AQ46" s="1">
        <v>0</v>
      </c>
      <c r="AR46" s="1" t="str">
        <f t="shared" si="15"/>
        <v>No</v>
      </c>
      <c r="AS46" s="1">
        <v>0</v>
      </c>
      <c r="AT46" s="1" t="str">
        <f t="shared" si="8"/>
        <v>No</v>
      </c>
      <c r="AU46" s="1">
        <v>0</v>
      </c>
      <c r="AV46" s="1" t="str">
        <f t="shared" si="9"/>
        <v>No</v>
      </c>
      <c r="AW46" s="1">
        <v>0</v>
      </c>
      <c r="AX46" s="1" t="str">
        <f t="shared" si="10"/>
        <v>No</v>
      </c>
      <c r="AY46" s="1">
        <v>0</v>
      </c>
      <c r="AZ46" s="1" t="str">
        <f t="shared" si="11"/>
        <v>No</v>
      </c>
      <c r="BA46" s="1">
        <v>1</v>
      </c>
      <c r="BB46" s="1" t="str">
        <f t="shared" si="12"/>
        <v>Yes</v>
      </c>
      <c r="BC46" s="1">
        <v>0</v>
      </c>
      <c r="BD46" s="1" t="str">
        <f t="shared" si="13"/>
        <v>No</v>
      </c>
      <c r="BE46" s="1">
        <v>0</v>
      </c>
      <c r="BF46" s="1" t="str">
        <f t="shared" si="14"/>
        <v>No</v>
      </c>
      <c r="BG46" s="1">
        <v>2</v>
      </c>
      <c r="BH46" s="1">
        <v>0.2</v>
      </c>
      <c r="BI46" s="1">
        <v>5</v>
      </c>
      <c r="DM46" s="1">
        <v>559809749</v>
      </c>
      <c r="DN46" s="1" t="s">
        <v>353</v>
      </c>
      <c r="DO46" s="2">
        <v>45916.151828703703</v>
      </c>
      <c r="DR46" s="1" t="s">
        <v>121</v>
      </c>
      <c r="DT46" s="1" t="s">
        <v>139</v>
      </c>
      <c r="DV46" s="1">
        <v>47</v>
      </c>
    </row>
    <row r="47" spans="1:126" ht="14.25" customHeight="1" x14ac:dyDescent="0.3">
      <c r="A47" s="2">
        <v>45911.415363518521</v>
      </c>
      <c r="B47" s="2">
        <v>45916.383130104157</v>
      </c>
      <c r="C47" s="1">
        <v>9</v>
      </c>
      <c r="D47" s="1" t="s">
        <v>110</v>
      </c>
      <c r="E47" s="1" t="s">
        <v>354</v>
      </c>
      <c r="F47" s="1" t="s">
        <v>355</v>
      </c>
      <c r="G47" s="1">
        <v>9.9491300000000003</v>
      </c>
      <c r="H47" s="1">
        <v>76.257208000000006</v>
      </c>
      <c r="I47" s="1">
        <v>4</v>
      </c>
      <c r="J47" s="1">
        <v>43</v>
      </c>
      <c r="K47" s="1" t="s">
        <v>113</v>
      </c>
      <c r="L47" s="1" t="s">
        <v>114</v>
      </c>
      <c r="M47" s="1" t="s">
        <v>115</v>
      </c>
      <c r="N47" s="1">
        <v>357</v>
      </c>
      <c r="O47" s="1">
        <v>118</v>
      </c>
      <c r="P47" s="1">
        <v>475</v>
      </c>
      <c r="Q47" s="1">
        <v>22</v>
      </c>
      <c r="R47" s="1">
        <v>16</v>
      </c>
      <c r="S47" s="1">
        <v>16</v>
      </c>
      <c r="T47" s="1">
        <v>25</v>
      </c>
      <c r="U47" s="1">
        <v>20</v>
      </c>
      <c r="V47" s="1" t="s">
        <v>116</v>
      </c>
      <c r="W47" s="1" t="s">
        <v>356</v>
      </c>
      <c r="X47" s="1">
        <v>16</v>
      </c>
      <c r="Y47" s="1" t="s">
        <v>118</v>
      </c>
      <c r="Z47" s="1">
        <v>1</v>
      </c>
      <c r="AA47" s="1" t="str">
        <f t="shared" si="0"/>
        <v>Yes</v>
      </c>
      <c r="AB47" s="1">
        <v>0</v>
      </c>
      <c r="AC47" s="1" t="str">
        <f t="shared" si="1"/>
        <v>No</v>
      </c>
      <c r="AD47" s="1">
        <v>1</v>
      </c>
      <c r="AE47" s="1" t="str">
        <f t="shared" si="2"/>
        <v>Yes</v>
      </c>
      <c r="AF47" s="1">
        <v>1</v>
      </c>
      <c r="AG47" s="1" t="str">
        <f t="shared" si="3"/>
        <v>Yes</v>
      </c>
      <c r="AH47" s="1">
        <v>0</v>
      </c>
      <c r="AI47" s="1" t="str">
        <f t="shared" si="4"/>
        <v>No</v>
      </c>
      <c r="AJ47" s="1">
        <v>0</v>
      </c>
      <c r="AK47" s="1" t="str">
        <f t="shared" si="5"/>
        <v>No</v>
      </c>
      <c r="AL47" s="1">
        <v>1</v>
      </c>
      <c r="AM47" s="1" t="str">
        <f t="shared" si="6"/>
        <v>Yes</v>
      </c>
      <c r="AN47" s="1">
        <v>0</v>
      </c>
      <c r="AO47" s="1" t="str">
        <f t="shared" si="7"/>
        <v>No</v>
      </c>
      <c r="AP47" s="1" t="s">
        <v>119</v>
      </c>
      <c r="AQ47" s="1">
        <v>1</v>
      </c>
      <c r="AR47" s="1" t="str">
        <f t="shared" si="15"/>
        <v>Yes</v>
      </c>
      <c r="AS47" s="1">
        <v>0</v>
      </c>
      <c r="AT47" s="1" t="str">
        <f t="shared" si="8"/>
        <v>No</v>
      </c>
      <c r="AU47" s="1">
        <v>1</v>
      </c>
      <c r="AV47" s="1" t="str">
        <f t="shared" si="9"/>
        <v>Yes</v>
      </c>
      <c r="AW47" s="1">
        <v>0</v>
      </c>
      <c r="AX47" s="1" t="str">
        <f t="shared" si="10"/>
        <v>No</v>
      </c>
      <c r="AY47" s="1">
        <v>0</v>
      </c>
      <c r="AZ47" s="1" t="str">
        <f t="shared" si="11"/>
        <v>No</v>
      </c>
      <c r="BA47" s="1">
        <v>1</v>
      </c>
      <c r="BB47" s="1" t="str">
        <f t="shared" si="12"/>
        <v>Yes</v>
      </c>
      <c r="BC47" s="1">
        <v>1</v>
      </c>
      <c r="BD47" s="1" t="str">
        <f t="shared" si="13"/>
        <v>Yes</v>
      </c>
      <c r="BE47" s="1">
        <v>0</v>
      </c>
      <c r="BF47" s="1" t="str">
        <f t="shared" si="14"/>
        <v>No</v>
      </c>
      <c r="BG47" s="1">
        <v>1</v>
      </c>
      <c r="BH47" s="1">
        <v>0.01</v>
      </c>
      <c r="BI47" s="1">
        <v>0</v>
      </c>
      <c r="DM47" s="1">
        <v>559810636</v>
      </c>
      <c r="DN47" s="1" t="s">
        <v>357</v>
      </c>
      <c r="DO47" s="2">
        <v>45916.153969907413</v>
      </c>
      <c r="DR47" s="1" t="s">
        <v>121</v>
      </c>
      <c r="DT47" s="1" t="s">
        <v>139</v>
      </c>
      <c r="DV47" s="1">
        <v>48</v>
      </c>
    </row>
    <row r="48" spans="1:126" ht="14.25" customHeight="1" x14ac:dyDescent="0.3">
      <c r="A48" s="2">
        <v>45911.420274583332</v>
      </c>
      <c r="B48" s="2">
        <v>45916.383250729174</v>
      </c>
      <c r="C48" s="1">
        <v>10</v>
      </c>
      <c r="D48" s="1" t="s">
        <v>358</v>
      </c>
      <c r="E48" s="1" t="s">
        <v>359</v>
      </c>
      <c r="F48" s="1" t="s">
        <v>360</v>
      </c>
      <c r="G48" s="1">
        <v>9.9440530000000003</v>
      </c>
      <c r="H48" s="1">
        <v>76.256528000000003</v>
      </c>
      <c r="I48" s="1">
        <v>11.85</v>
      </c>
      <c r="J48" s="1">
        <v>5.18</v>
      </c>
      <c r="K48" s="1" t="s">
        <v>113</v>
      </c>
      <c r="L48" s="1" t="s">
        <v>143</v>
      </c>
      <c r="M48" s="1" t="s">
        <v>115</v>
      </c>
      <c r="N48" s="1">
        <v>53</v>
      </c>
      <c r="O48" s="1">
        <v>18</v>
      </c>
      <c r="P48" s="1">
        <v>71</v>
      </c>
      <c r="Q48" s="1">
        <v>13</v>
      </c>
      <c r="R48" s="1">
        <v>10</v>
      </c>
      <c r="S48" s="1">
        <v>3</v>
      </c>
      <c r="T48" s="1">
        <v>6</v>
      </c>
      <c r="U48" s="1">
        <v>8</v>
      </c>
      <c r="V48" s="1" t="s">
        <v>116</v>
      </c>
      <c r="W48" s="1" t="s">
        <v>361</v>
      </c>
      <c r="X48" s="1">
        <v>10</v>
      </c>
      <c r="Y48" s="1" t="s">
        <v>118</v>
      </c>
      <c r="Z48" s="1">
        <v>1</v>
      </c>
      <c r="AA48" s="1" t="str">
        <f t="shared" si="0"/>
        <v>Yes</v>
      </c>
      <c r="AB48" s="1">
        <v>0</v>
      </c>
      <c r="AC48" s="1" t="str">
        <f t="shared" si="1"/>
        <v>No</v>
      </c>
      <c r="AD48" s="1">
        <v>1</v>
      </c>
      <c r="AE48" s="1" t="str">
        <f t="shared" si="2"/>
        <v>Yes</v>
      </c>
      <c r="AF48" s="1">
        <v>1</v>
      </c>
      <c r="AG48" s="1" t="str">
        <f t="shared" si="3"/>
        <v>Yes</v>
      </c>
      <c r="AH48" s="1">
        <v>0</v>
      </c>
      <c r="AI48" s="1" t="str">
        <f t="shared" si="4"/>
        <v>No</v>
      </c>
      <c r="AJ48" s="1">
        <v>0</v>
      </c>
      <c r="AK48" s="1" t="str">
        <f t="shared" si="5"/>
        <v>No</v>
      </c>
      <c r="AL48" s="1">
        <v>1</v>
      </c>
      <c r="AM48" s="1" t="str">
        <f t="shared" si="6"/>
        <v>Yes</v>
      </c>
      <c r="AN48" s="1">
        <v>0</v>
      </c>
      <c r="AO48" s="1" t="str">
        <f t="shared" si="7"/>
        <v>No</v>
      </c>
      <c r="AP48" s="1" t="s">
        <v>119</v>
      </c>
      <c r="AQ48" s="1">
        <v>1</v>
      </c>
      <c r="AR48" s="1" t="str">
        <f t="shared" si="15"/>
        <v>Yes</v>
      </c>
      <c r="AS48" s="1">
        <v>0</v>
      </c>
      <c r="AT48" s="1" t="str">
        <f t="shared" si="8"/>
        <v>No</v>
      </c>
      <c r="AU48" s="1">
        <v>1</v>
      </c>
      <c r="AV48" s="1" t="str">
        <f t="shared" si="9"/>
        <v>Yes</v>
      </c>
      <c r="AW48" s="1">
        <v>0</v>
      </c>
      <c r="AX48" s="1" t="str">
        <f t="shared" si="10"/>
        <v>No</v>
      </c>
      <c r="AY48" s="1">
        <v>0</v>
      </c>
      <c r="AZ48" s="1" t="str">
        <f t="shared" si="11"/>
        <v>No</v>
      </c>
      <c r="BA48" s="1">
        <v>1</v>
      </c>
      <c r="BB48" s="1" t="str">
        <f t="shared" si="12"/>
        <v>Yes</v>
      </c>
      <c r="BC48" s="1">
        <v>1</v>
      </c>
      <c r="BD48" s="1" t="str">
        <f t="shared" si="13"/>
        <v>Yes</v>
      </c>
      <c r="BE48" s="1">
        <v>0</v>
      </c>
      <c r="BF48" s="1" t="str">
        <f t="shared" si="14"/>
        <v>No</v>
      </c>
      <c r="BG48" s="1">
        <v>1</v>
      </c>
      <c r="BH48" s="1">
        <v>0.05</v>
      </c>
      <c r="BI48" s="1">
        <v>1.5</v>
      </c>
      <c r="DM48" s="1">
        <v>559810694</v>
      </c>
      <c r="DN48" s="1" t="s">
        <v>362</v>
      </c>
      <c r="DO48" s="2">
        <v>45916.154085648152</v>
      </c>
      <c r="DR48" s="1" t="s">
        <v>121</v>
      </c>
      <c r="DT48" s="1" t="s">
        <v>139</v>
      </c>
      <c r="DV48" s="1">
        <v>49</v>
      </c>
    </row>
    <row r="49" spans="1:126" ht="14.25" customHeight="1" x14ac:dyDescent="0.3">
      <c r="A49" s="2">
        <v>45911.422522337962</v>
      </c>
      <c r="B49" s="2">
        <v>45916.383797916656</v>
      </c>
      <c r="C49" s="1">
        <v>12</v>
      </c>
      <c r="D49" s="1" t="s">
        <v>363</v>
      </c>
      <c r="E49" s="1" t="s">
        <v>364</v>
      </c>
      <c r="F49" s="1" t="s">
        <v>365</v>
      </c>
      <c r="G49" s="1">
        <v>9.9284400000000002</v>
      </c>
      <c r="H49" s="1">
        <v>76.261219999999994</v>
      </c>
      <c r="I49" s="1">
        <v>4.22</v>
      </c>
      <c r="J49" s="1">
        <v>16.600000000000001</v>
      </c>
      <c r="K49" s="1" t="s">
        <v>248</v>
      </c>
      <c r="L49" s="1" t="s">
        <v>143</v>
      </c>
      <c r="M49" s="1" t="s">
        <v>136</v>
      </c>
      <c r="N49" s="1">
        <v>68</v>
      </c>
      <c r="O49" s="1">
        <v>50</v>
      </c>
      <c r="P49" s="1">
        <v>118</v>
      </c>
      <c r="Q49" s="1">
        <v>8</v>
      </c>
      <c r="R49" s="1">
        <v>8</v>
      </c>
      <c r="S49" s="1">
        <v>0</v>
      </c>
      <c r="T49" s="1">
        <v>10</v>
      </c>
      <c r="U49" s="1">
        <v>8</v>
      </c>
      <c r="V49" s="1" t="s">
        <v>288</v>
      </c>
      <c r="W49" s="1" t="s">
        <v>366</v>
      </c>
      <c r="X49" s="1">
        <v>8</v>
      </c>
      <c r="Y49" s="1" t="s">
        <v>146</v>
      </c>
      <c r="Z49" s="1">
        <v>0</v>
      </c>
      <c r="AA49" s="1" t="str">
        <f t="shared" si="0"/>
        <v>No</v>
      </c>
      <c r="AB49" s="1">
        <v>0</v>
      </c>
      <c r="AC49" s="1" t="str">
        <f t="shared" si="1"/>
        <v>No</v>
      </c>
      <c r="AD49" s="1">
        <v>0</v>
      </c>
      <c r="AE49" s="1" t="str">
        <f t="shared" si="2"/>
        <v>No</v>
      </c>
      <c r="AF49" s="1">
        <v>0</v>
      </c>
      <c r="AG49" s="1" t="str">
        <f t="shared" si="3"/>
        <v>No</v>
      </c>
      <c r="AH49" s="1">
        <v>0</v>
      </c>
      <c r="AI49" s="1" t="str">
        <f t="shared" si="4"/>
        <v>No</v>
      </c>
      <c r="AJ49" s="1">
        <v>1</v>
      </c>
      <c r="AK49" s="1" t="str">
        <f t="shared" si="5"/>
        <v>Yes</v>
      </c>
      <c r="AL49" s="1">
        <v>1</v>
      </c>
      <c r="AM49" s="1" t="str">
        <f t="shared" si="6"/>
        <v>Yes</v>
      </c>
      <c r="AN49" s="1">
        <v>0</v>
      </c>
      <c r="AO49" s="1" t="str">
        <f t="shared" si="7"/>
        <v>No</v>
      </c>
      <c r="AP49" s="1" t="s">
        <v>165</v>
      </c>
      <c r="AQ49" s="1">
        <v>0</v>
      </c>
      <c r="AR49" s="1" t="str">
        <f t="shared" si="15"/>
        <v>No</v>
      </c>
      <c r="AS49" s="1">
        <v>0</v>
      </c>
      <c r="AT49" s="1" t="str">
        <f t="shared" si="8"/>
        <v>No</v>
      </c>
      <c r="AU49" s="1">
        <v>0</v>
      </c>
      <c r="AV49" s="1" t="str">
        <f t="shared" si="9"/>
        <v>No</v>
      </c>
      <c r="AW49" s="1">
        <v>0</v>
      </c>
      <c r="AX49" s="1" t="str">
        <f t="shared" si="10"/>
        <v>No</v>
      </c>
      <c r="AY49" s="1">
        <v>0</v>
      </c>
      <c r="AZ49" s="1" t="str">
        <f t="shared" si="11"/>
        <v>No</v>
      </c>
      <c r="BA49" s="1">
        <v>1</v>
      </c>
      <c r="BB49" s="1" t="str">
        <f t="shared" si="12"/>
        <v>Yes</v>
      </c>
      <c r="BC49" s="1">
        <v>0</v>
      </c>
      <c r="BD49" s="1" t="str">
        <f t="shared" si="13"/>
        <v>No</v>
      </c>
      <c r="BE49" s="1">
        <v>0</v>
      </c>
      <c r="BF49" s="1" t="str">
        <f t="shared" si="14"/>
        <v>No</v>
      </c>
      <c r="BG49" s="1">
        <v>2</v>
      </c>
      <c r="BH49" s="1">
        <v>2</v>
      </c>
      <c r="BI49" s="1">
        <v>0</v>
      </c>
      <c r="DM49" s="1">
        <v>559810901</v>
      </c>
      <c r="DN49" s="1" t="s">
        <v>367</v>
      </c>
      <c r="DO49" s="2">
        <v>45916.154641203713</v>
      </c>
      <c r="DR49" s="1" t="s">
        <v>121</v>
      </c>
      <c r="DT49" s="1" t="s">
        <v>139</v>
      </c>
      <c r="DV49" s="1">
        <v>50</v>
      </c>
    </row>
    <row r="50" spans="1:126" ht="14.25" customHeight="1" x14ac:dyDescent="0.3"/>
    <row r="51" spans="1:126" ht="14.25" customHeight="1" x14ac:dyDescent="0.3"/>
    <row r="52" spans="1:126" ht="14.25" customHeight="1" x14ac:dyDescent="0.3"/>
    <row r="53" spans="1:126" ht="14.25" customHeight="1" x14ac:dyDescent="0.3"/>
    <row r="54" spans="1:126" ht="14.25" customHeight="1" x14ac:dyDescent="0.3"/>
    <row r="55" spans="1:126" ht="14.25" customHeight="1" x14ac:dyDescent="0.3"/>
    <row r="56" spans="1:126" ht="14.25" customHeight="1" x14ac:dyDescent="0.3"/>
    <row r="57" spans="1:126" ht="14.25" customHeight="1" x14ac:dyDescent="0.3"/>
    <row r="58" spans="1:126" ht="14.25" customHeight="1" x14ac:dyDescent="0.3"/>
    <row r="59" spans="1:126" ht="14.25" customHeight="1" x14ac:dyDescent="0.3"/>
    <row r="60" spans="1:126" ht="14.25" customHeight="1" x14ac:dyDescent="0.3"/>
    <row r="61" spans="1:126" ht="14.25" customHeight="1" x14ac:dyDescent="0.3"/>
    <row r="62" spans="1:126" ht="14.25" customHeight="1" x14ac:dyDescent="0.3"/>
    <row r="63" spans="1:126" ht="14.25" customHeight="1" x14ac:dyDescent="0.3"/>
    <row r="64" spans="1:12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DV49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2:2" ht="14.25" customHeight="1" x14ac:dyDescent="0.3"/>
    <row r="2" spans="2:2" ht="14.25" customHeight="1" x14ac:dyDescent="0.3"/>
    <row r="3" spans="2:2" ht="14.25" customHeight="1" x14ac:dyDescent="0.3"/>
    <row r="4" spans="2:2" ht="14.25" customHeight="1" x14ac:dyDescent="0.3"/>
    <row r="5" spans="2:2" ht="14.25" customHeight="1" x14ac:dyDescent="0.3"/>
    <row r="6" spans="2:2" ht="14.25" customHeight="1" x14ac:dyDescent="0.3"/>
    <row r="7" spans="2:2" ht="14.25" customHeight="1" x14ac:dyDescent="0.3">
      <c r="B7" s="1" t="s">
        <v>368</v>
      </c>
    </row>
    <row r="8" spans="2:2" ht="14.25" customHeight="1" x14ac:dyDescent="0.3">
      <c r="B8" s="1" t="s">
        <v>369</v>
      </c>
    </row>
    <row r="9" spans="2:2" ht="14.25" customHeight="1" x14ac:dyDescent="0.3">
      <c r="B9" s="1" t="s">
        <v>370</v>
      </c>
    </row>
    <row r="10" spans="2:2" ht="14.25" customHeight="1" x14ac:dyDescent="0.3">
      <c r="B10" s="1" t="s">
        <v>371</v>
      </c>
    </row>
    <row r="11" spans="2:2" ht="14.25" customHeight="1" x14ac:dyDescent="0.3">
      <c r="B11" s="1" t="s">
        <v>372</v>
      </c>
    </row>
    <row r="12" spans="2:2" ht="14.25" customHeight="1" x14ac:dyDescent="0.3">
      <c r="B12" s="1" t="s">
        <v>373</v>
      </c>
    </row>
    <row r="13" spans="2:2" ht="14.25" customHeight="1" x14ac:dyDescent="0.3">
      <c r="B13" s="1" t="s">
        <v>374</v>
      </c>
    </row>
    <row r="14" spans="2:2" ht="14.25" customHeight="1" x14ac:dyDescent="0.3">
      <c r="B14" s="1" t="s">
        <v>375</v>
      </c>
    </row>
    <row r="15" spans="2:2" ht="14.25" customHeight="1" x14ac:dyDescent="0.3">
      <c r="B15" s="1" t="s">
        <v>376</v>
      </c>
    </row>
    <row r="16" spans="2:2" ht="14.25" customHeight="1" x14ac:dyDescent="0.3">
      <c r="B16" s="1" t="s">
        <v>377</v>
      </c>
    </row>
    <row r="17" spans="2:2" ht="14.25" customHeight="1" x14ac:dyDescent="0.3">
      <c r="B17" s="1" t="s">
        <v>378</v>
      </c>
    </row>
    <row r="18" spans="2:2" ht="14.25" customHeight="1" x14ac:dyDescent="0.3">
      <c r="B18" s="1" t="s">
        <v>379</v>
      </c>
    </row>
    <row r="19" spans="2:2" ht="14.25" customHeight="1" x14ac:dyDescent="0.3">
      <c r="B19" s="1" t="s">
        <v>380</v>
      </c>
    </row>
    <row r="20" spans="2:2" ht="14.25" customHeight="1" x14ac:dyDescent="0.3"/>
    <row r="21" spans="2:2" ht="14.25" customHeight="1" x14ac:dyDescent="0.3"/>
    <row r="22" spans="2:2" ht="14.25" customHeight="1" x14ac:dyDescent="0.3"/>
    <row r="23" spans="2:2" ht="14.25" customHeight="1" x14ac:dyDescent="0.3"/>
    <row r="24" spans="2:2" ht="14.25" customHeight="1" x14ac:dyDescent="0.3"/>
    <row r="25" spans="2:2" ht="14.25" customHeight="1" x14ac:dyDescent="0.3"/>
    <row r="26" spans="2:2" ht="14.25" customHeight="1" x14ac:dyDescent="0.3"/>
    <row r="27" spans="2:2" ht="14.25" customHeight="1" x14ac:dyDescent="0.3"/>
    <row r="28" spans="2:2" ht="14.25" customHeight="1" x14ac:dyDescent="0.3"/>
    <row r="29" spans="2:2" ht="14.25" customHeight="1" x14ac:dyDescent="0.3"/>
    <row r="30" spans="2:2" ht="14.25" customHeight="1" x14ac:dyDescent="0.3"/>
    <row r="31" spans="2:2" ht="14.25" customHeight="1" x14ac:dyDescent="0.3"/>
    <row r="32" spans="2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Education_Schools_Final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Advay Kumar Vaibhav</cp:lastModifiedBy>
  <dcterms:created xsi:type="dcterms:W3CDTF">2025-09-16T04:31:17Z</dcterms:created>
  <dcterms:modified xsi:type="dcterms:W3CDTF">2026-03-09T06:10:38Z</dcterms:modified>
</cp:coreProperties>
</file>