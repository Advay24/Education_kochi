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AppData\Local\Packages\5319275A.WhatsAppDesktop_cv1g1gvanyjgm\LocalState\sessions\C0B9344321EB7F275C2F552956BC5086F0D78366\transfers\2026-04\"/>
    </mc:Choice>
  </mc:AlternateContent>
  <xr:revisionPtr revIDLastSave="0" documentId="13_ncr:1_{53F44244-055C-48ED-A67F-07650AF6E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ucation-Ward Level_Final" sheetId="1" r:id="rId1"/>
    <sheet name="Description" sheetId="2" r:id="rId2"/>
    <sheet name="Ward_Lookup" sheetId="3" r:id="rId3"/>
  </sheets>
  <definedNames>
    <definedName name="_xlnm._FilterDatabase" localSheetId="0" hidden="1">'Education-Ward Level_Final'!$A$1:$BR$24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<sst xmlns="http://schemas.openxmlformats.org/spreadsheetml/2006/main" count="114" uniqueCount="65">
  <si>
    <t>1. Ward Number</t>
  </si>
  <si>
    <t>2. How many Anganwadis are there in the ward?</t>
  </si>
  <si>
    <t>3. What is the total number of children enrolled in Anganwadis?</t>
  </si>
  <si>
    <t xml:space="preserve">4. No. of boys in Anganwadi </t>
  </si>
  <si>
    <t xml:space="preserve">5. No. of girls in Anganwadi </t>
  </si>
  <si>
    <t>6. How many Anganwadis have their own building?</t>
  </si>
  <si>
    <t>7. Are there any Vocational higher secondary schools (VHS) in the ward?</t>
  </si>
  <si>
    <t xml:space="preserve"> 8. How many tuition/coaching centres are present in the ward?</t>
  </si>
  <si>
    <t>9. How many study abroad centres are present in the ward?</t>
  </si>
  <si>
    <t>10. How many higher education institutions are present in the ward?</t>
  </si>
  <si>
    <t>11. Are there any special schools in the ward?</t>
  </si>
  <si>
    <t>Yes</t>
  </si>
  <si>
    <t>No</t>
  </si>
  <si>
    <t>Ward Number</t>
  </si>
  <si>
    <t>Ward Name</t>
  </si>
  <si>
    <t>Fort Kochi</t>
  </si>
  <si>
    <t>Chakkamadam</t>
  </si>
  <si>
    <t>Karuvelippady</t>
  </si>
  <si>
    <t>Tharebhagom</t>
  </si>
  <si>
    <t>Kadebhagam</t>
  </si>
  <si>
    <t>Nambyapuram</t>
  </si>
  <si>
    <t>Mundamveli</t>
  </si>
  <si>
    <t>Nazareth</t>
  </si>
  <si>
    <t>Amaravathi</t>
  </si>
  <si>
    <t>Vaduthala West</t>
  </si>
  <si>
    <t>Elamakkara North</t>
  </si>
  <si>
    <t>Puthukalavattom</t>
  </si>
  <si>
    <t>Edappally</t>
  </si>
  <si>
    <t>Mamangalam</t>
  </si>
  <si>
    <t>Padivattom</t>
  </si>
  <si>
    <t>Chalikavattom</t>
  </si>
  <si>
    <t>Ponnurunni East</t>
  </si>
  <si>
    <t>Chambakkara</t>
  </si>
  <si>
    <t>Elamkulam</t>
  </si>
  <si>
    <t>Thevara</t>
  </si>
  <si>
    <t>Perumanoor</t>
  </si>
  <si>
    <t>Gandhi Nagar</t>
  </si>
  <si>
    <t>Kathrikkadavu</t>
  </si>
  <si>
    <t>Pachalam</t>
  </si>
  <si>
    <t>Thattazham</t>
  </si>
  <si>
    <t>QUESTIONS</t>
  </si>
  <si>
    <t>DESCRIPTION</t>
  </si>
  <si>
    <t>LIMITATIONS</t>
  </si>
  <si>
    <t>Identifies the specific ward number of Kochi from which the data has been collected, covering a total of 22 wards.</t>
  </si>
  <si>
    <t>Considered Pre-2025 delimitation map</t>
  </si>
  <si>
    <t>2. Ward Name</t>
  </si>
  <si>
    <t>Identifies the specific ward name of Kochi from which the data has been collected, covering a total of 22 wards.</t>
  </si>
  <si>
    <t>3. How many Anganwadis are there in the ward?</t>
  </si>
  <si>
    <t>Indicates the total count of functional Anganwadi centres operating within the specified ward.</t>
  </si>
  <si>
    <t>Data unavailability Ward 37 and Ward 41 aanganwadis had been permanently closed.</t>
  </si>
  <si>
    <t>4. What is the total number of children enrolled in Anganwadis?</t>
  </si>
  <si>
    <t>Represents the aggregate number of children registered across all Anganwadi centres within the specified ward.</t>
  </si>
  <si>
    <t xml:space="preserve">5. No. of boys in Anganwadi </t>
  </si>
  <si>
    <t>Represents the aggregate number of male children registered across all Anganwadi centres within the specified ward.</t>
  </si>
  <si>
    <t>Represents the aggregate number of female children registered across all Anganwadi centres within the specified ward.</t>
  </si>
  <si>
    <t>Indicates the number of Anganwadi centres in the ward that operate from purpose-built or independently owned premises.</t>
  </si>
  <si>
    <t>Indicates whether at least one Vocational Higher Secondary School operates within the specified ward.</t>
  </si>
  <si>
    <t>Indicates the total count of private tuition and coaching centres operating within the specified ward.</t>
  </si>
  <si>
    <t>Existence of non-reported informal institutions</t>
  </si>
  <si>
    <t>Indicates the total count of study abroad consultancy and facilitation centres operating within the specified ward.</t>
  </si>
  <si>
    <t>Purposive and convinience sampling was considered during data collection</t>
  </si>
  <si>
    <t>Indicates the total count of colleges, universities, and other post-secondary educational institutions operating within the specified ward.</t>
  </si>
  <si>
    <t>Indicates whether at least one special school catering to children with disabilities or special educational needs operates within the specified ward.</t>
  </si>
  <si>
    <t>Note*</t>
  </si>
  <si>
    <t>Ward 63 data is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</si>
</sst>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parajit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3"/>
  <sheetViews>
    <sheetView tabSelected="1" workbookViewId="0">
      <selection activeCell="D12" sqref="D12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40.88671875" bestFit="1" customWidth="1"/>
    <col min="4" max="4" width="53.44140625" bestFit="1" customWidth="1"/>
    <col min="5" max="5" width="24.44140625" bestFit="1" customWidth="1"/>
    <col min="6" max="6" width="23.88671875" bestFit="1" customWidth="1"/>
    <col min="7" max="7" width="42.77734375" bestFit="1" customWidth="1"/>
    <col min="8" max="8" width="62.6640625" bestFit="1" customWidth="1"/>
    <col min="9" max="9" width="53.5546875" bestFit="1" customWidth="1"/>
    <col min="10" max="10" width="50.33203125" bestFit="1" customWidth="1"/>
    <col min="11" max="11" width="57.44140625" bestFit="1" customWidth="1"/>
    <col min="12" max="12" width="38.6640625" bestFit="1" customWidth="1"/>
  </cols>
  <sheetData>
    <row r="1" spans="1:63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63" x14ac:dyDescent="0.3">
      <c r="A2">
        <v>1</v>
      </c>
      <c r="B2" t="str">
        <f>_xlfn.XLOOKUP(
A2,
Ward_Lookup!A:A,
Ward_Lookup!B:B,
"Ward not found"
)</f>
        <v>Fort Kochi</v>
      </c>
      <c r="C2">
        <v>5</v>
      </c>
      <c r="D2">
        <v>50</v>
      </c>
      <c r="E2">
        <v>30</v>
      </c>
      <c r="F2">
        <v>20</v>
      </c>
      <c r="G2">
        <v>1</v>
      </c>
      <c r="H2" t="s">
        <v>12</v>
      </c>
      <c r="I2">
        <v>8</v>
      </c>
      <c r="J2">
        <v>0</v>
      </c>
      <c r="K2">
        <v>1</v>
      </c>
      <c r="L2" t="s">
        <v>11</v>
      </c>
      <c r="BK2" s="1"/>
    </row>
    <row r="3" spans="1:63" x14ac:dyDescent="0.3">
      <c r="A3">
        <v>9</v>
      </c>
      <c r="B3" t="str">
        <f>_xlfn.XLOOKUP(
A3,
Ward_Lookup!A:A,
Ward_Lookup!B:B,
"Ward not found"
)</f>
        <v>Chakkamadam</v>
      </c>
      <c r="C3">
        <v>8</v>
      </c>
      <c r="D3">
        <v>96</v>
      </c>
      <c r="E3">
        <v>57</v>
      </c>
      <c r="F3">
        <v>39</v>
      </c>
      <c r="G3">
        <v>0</v>
      </c>
      <c r="H3" t="s">
        <v>11</v>
      </c>
      <c r="I3">
        <v>3</v>
      </c>
      <c r="J3">
        <v>2</v>
      </c>
      <c r="K3">
        <v>0</v>
      </c>
      <c r="L3" t="s">
        <v>12</v>
      </c>
      <c r="BK3" s="1"/>
    </row>
    <row r="4" spans="1:63" x14ac:dyDescent="0.3">
      <c r="A4">
        <v>10</v>
      </c>
      <c r="B4" t="str">
        <f>_xlfn.XLOOKUP(
A4,
Ward_Lookup!A:A,
Ward_Lookup!B:B,
"Ward not found"
)</f>
        <v>Karuvelippady</v>
      </c>
      <c r="C4">
        <v>6</v>
      </c>
      <c r="D4">
        <v>66</v>
      </c>
      <c r="E4">
        <v>28</v>
      </c>
      <c r="F4">
        <v>38</v>
      </c>
      <c r="G4">
        <v>4</v>
      </c>
      <c r="H4" t="s">
        <v>12</v>
      </c>
      <c r="I4">
        <v>5</v>
      </c>
      <c r="J4">
        <v>0</v>
      </c>
      <c r="K4">
        <v>0</v>
      </c>
      <c r="L4" t="s">
        <v>12</v>
      </c>
      <c r="BK4" s="1"/>
    </row>
    <row r="5" spans="1:63" x14ac:dyDescent="0.3">
      <c r="A5">
        <v>12</v>
      </c>
      <c r="B5" t="str">
        <f>_xlfn.XLOOKUP(
A5,
Ward_Lookup!A:A,
Ward_Lookup!B:B,
"Ward not found"
)</f>
        <v>Tharebhagom</v>
      </c>
      <c r="C5">
        <v>6</v>
      </c>
      <c r="D5">
        <v>70</v>
      </c>
      <c r="E5">
        <v>41</v>
      </c>
      <c r="F5">
        <v>29</v>
      </c>
      <c r="G5">
        <v>0</v>
      </c>
      <c r="H5" t="s">
        <v>12</v>
      </c>
      <c r="I5">
        <v>4</v>
      </c>
      <c r="J5">
        <v>0</v>
      </c>
      <c r="K5">
        <v>0</v>
      </c>
      <c r="L5" t="s">
        <v>11</v>
      </c>
      <c r="BK5" s="1"/>
    </row>
    <row r="6" spans="1:63" x14ac:dyDescent="0.3">
      <c r="A6">
        <v>13</v>
      </c>
      <c r="B6" t="str">
        <f>_xlfn.XLOOKUP(
A6,
Ward_Lookup!A:A,
Ward_Lookup!B:B,
"Ward not found"
)</f>
        <v>Kadebhagam</v>
      </c>
      <c r="C6">
        <v>6</v>
      </c>
      <c r="D6">
        <v>56</v>
      </c>
      <c r="E6">
        <v>30</v>
      </c>
      <c r="F6">
        <v>26</v>
      </c>
      <c r="G6">
        <v>2</v>
      </c>
      <c r="H6" t="s">
        <v>12</v>
      </c>
      <c r="I6">
        <v>4</v>
      </c>
      <c r="J6">
        <v>1</v>
      </c>
      <c r="K6">
        <v>1</v>
      </c>
      <c r="L6" t="s">
        <v>12</v>
      </c>
      <c r="BK6" s="1"/>
    </row>
    <row r="7" spans="1:63" x14ac:dyDescent="0.3">
      <c r="A7">
        <v>20</v>
      </c>
      <c r="B7" t="str">
        <f>_xlfn.XLOOKUP(
A7,
Ward_Lookup!A:A,
Ward_Lookup!B:B,
"Ward not found"
)</f>
        <v>Nambyapuram</v>
      </c>
      <c r="C7">
        <v>4</v>
      </c>
      <c r="D7">
        <v>51</v>
      </c>
      <c r="E7">
        <v>25</v>
      </c>
      <c r="F7">
        <v>26</v>
      </c>
      <c r="G7">
        <v>1</v>
      </c>
      <c r="H7" t="s">
        <v>12</v>
      </c>
      <c r="I7">
        <v>2</v>
      </c>
      <c r="J7">
        <v>1</v>
      </c>
      <c r="K7">
        <v>0</v>
      </c>
      <c r="L7" t="s">
        <v>12</v>
      </c>
      <c r="BK7" s="1"/>
    </row>
    <row r="8" spans="1:63" x14ac:dyDescent="0.3">
      <c r="A8">
        <v>22</v>
      </c>
      <c r="B8" t="str">
        <f>_xlfn.XLOOKUP(
A8,
Ward_Lookup!A:A,
Ward_Lookup!B:B,
"Ward not found"
)</f>
        <v>Mundamveli</v>
      </c>
      <c r="C8">
        <v>8</v>
      </c>
      <c r="D8">
        <v>68</v>
      </c>
      <c r="E8">
        <v>37</v>
      </c>
      <c r="F8">
        <v>31</v>
      </c>
      <c r="G8">
        <v>3</v>
      </c>
      <c r="H8" t="s">
        <v>12</v>
      </c>
      <c r="I8">
        <v>5</v>
      </c>
      <c r="J8">
        <v>1</v>
      </c>
      <c r="K8">
        <v>0</v>
      </c>
      <c r="L8" t="s">
        <v>12</v>
      </c>
      <c r="BK8" s="1"/>
    </row>
    <row r="9" spans="1:63" x14ac:dyDescent="0.3">
      <c r="A9">
        <v>26</v>
      </c>
      <c r="B9" t="str">
        <f>_xlfn.XLOOKUP(
A9,
Ward_Lookup!A:A,
Ward_Lookup!B:B,
"Ward not found"
)</f>
        <v>Nazareth</v>
      </c>
      <c r="C9">
        <v>6</v>
      </c>
      <c r="D9">
        <v>47</v>
      </c>
      <c r="E9">
        <v>23</v>
      </c>
      <c r="F9">
        <v>24</v>
      </c>
      <c r="G9">
        <v>6</v>
      </c>
      <c r="H9" t="s">
        <v>12</v>
      </c>
      <c r="I9">
        <v>1</v>
      </c>
      <c r="J9">
        <v>0</v>
      </c>
      <c r="K9">
        <v>0</v>
      </c>
      <c r="L9" t="s">
        <v>12</v>
      </c>
      <c r="BK9" s="1"/>
    </row>
    <row r="10" spans="1:63" x14ac:dyDescent="0.3">
      <c r="A10">
        <v>28</v>
      </c>
      <c r="B10" t="str">
        <f>_xlfn.XLOOKUP(
A10,
Ward_Lookup!A:A,
Ward_Lookup!B:B,
"Ward not found"
)</f>
        <v>Amaravathi</v>
      </c>
      <c r="C10">
        <v>6</v>
      </c>
      <c r="D10">
        <v>52</v>
      </c>
      <c r="E10">
        <v>24</v>
      </c>
      <c r="F10">
        <v>28</v>
      </c>
      <c r="G10">
        <v>6</v>
      </c>
      <c r="H10" t="s">
        <v>12</v>
      </c>
      <c r="I10">
        <v>3</v>
      </c>
      <c r="J10">
        <v>0</v>
      </c>
      <c r="K10">
        <v>0</v>
      </c>
      <c r="L10" t="s">
        <v>12</v>
      </c>
      <c r="BK10" s="1"/>
    </row>
    <row r="11" spans="1:63" x14ac:dyDescent="0.3">
      <c r="A11">
        <v>31</v>
      </c>
      <c r="B11" t="str">
        <f>_xlfn.XLOOKUP(
A11,
Ward_Lookup!A:A,
Ward_Lookup!B:B,
"Ward not found"
)</f>
        <v>Vaduthala West</v>
      </c>
      <c r="C11">
        <v>3</v>
      </c>
      <c r="D11">
        <v>40</v>
      </c>
      <c r="E11">
        <v>22</v>
      </c>
      <c r="F11">
        <v>18</v>
      </c>
      <c r="G11">
        <v>2</v>
      </c>
      <c r="H11" t="s">
        <v>12</v>
      </c>
      <c r="I11">
        <v>0</v>
      </c>
      <c r="J11">
        <v>0</v>
      </c>
      <c r="K11">
        <v>0</v>
      </c>
      <c r="L11" t="s">
        <v>12</v>
      </c>
      <c r="BK11" s="1"/>
    </row>
    <row r="12" spans="1:63" x14ac:dyDescent="0.3">
      <c r="A12">
        <v>33</v>
      </c>
      <c r="B12" t="str">
        <f>_xlfn.XLOOKUP(
A12,
Ward_Lookup!A:A,
Ward_Lookup!B:B,
"Ward not found"
)</f>
        <v>Elamakkara North</v>
      </c>
      <c r="C12">
        <v>4</v>
      </c>
      <c r="D12">
        <v>56</v>
      </c>
      <c r="E12">
        <v>29</v>
      </c>
      <c r="F12">
        <v>27</v>
      </c>
      <c r="G12">
        <v>1</v>
      </c>
      <c r="H12" t="s">
        <v>12</v>
      </c>
      <c r="I12">
        <v>2</v>
      </c>
      <c r="J12">
        <v>0</v>
      </c>
      <c r="K12">
        <v>0</v>
      </c>
      <c r="L12" t="s">
        <v>12</v>
      </c>
      <c r="BK12" s="1"/>
    </row>
    <row r="13" spans="1:63" x14ac:dyDescent="0.3">
      <c r="A13">
        <v>34</v>
      </c>
      <c r="B13" t="str">
        <f>_xlfn.XLOOKUP(
A13,
Ward_Lookup!A:A,
Ward_Lookup!B:B,
"Ward not found"
)</f>
        <v>Puthukalavattom</v>
      </c>
      <c r="C13">
        <v>4</v>
      </c>
      <c r="D13">
        <v>29</v>
      </c>
      <c r="E13">
        <v>17</v>
      </c>
      <c r="F13">
        <v>12</v>
      </c>
      <c r="G13">
        <v>0</v>
      </c>
      <c r="H13" t="s">
        <v>12</v>
      </c>
      <c r="I13">
        <v>0</v>
      </c>
      <c r="J13">
        <v>0</v>
      </c>
      <c r="K13">
        <v>0</v>
      </c>
      <c r="L13" t="s">
        <v>12</v>
      </c>
      <c r="BK13" s="1"/>
    </row>
    <row r="14" spans="1:63" x14ac:dyDescent="0.3">
      <c r="A14">
        <v>37</v>
      </c>
      <c r="B14" t="str">
        <f>_xlfn.XLOOKUP(
A14,
Ward_Lookup!A:A,
Ward_Lookup!B:B,
"Ward not found"
)</f>
        <v>Edappally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12</v>
      </c>
      <c r="I14">
        <v>6</v>
      </c>
      <c r="J14">
        <v>3</v>
      </c>
      <c r="K14">
        <v>3</v>
      </c>
      <c r="L14" t="s">
        <v>12</v>
      </c>
      <c r="BK14" s="1"/>
    </row>
    <row r="15" spans="1:63" x14ac:dyDescent="0.3">
      <c r="A15">
        <v>40</v>
      </c>
      <c r="B15" t="str">
        <f>_xlfn.XLOOKUP(
A15,
Ward_Lookup!A:A,
Ward_Lookup!B:B,
"Ward not found"
)</f>
        <v>Mamangalam</v>
      </c>
      <c r="C15">
        <v>1</v>
      </c>
      <c r="D15">
        <v>17</v>
      </c>
      <c r="E15">
        <v>8</v>
      </c>
      <c r="F15">
        <v>9</v>
      </c>
      <c r="G15">
        <v>1</v>
      </c>
      <c r="H15" t="s">
        <v>11</v>
      </c>
      <c r="I15">
        <v>2</v>
      </c>
      <c r="J15">
        <v>3</v>
      </c>
      <c r="K15">
        <v>1</v>
      </c>
      <c r="L15" t="s">
        <v>12</v>
      </c>
      <c r="BK15" s="1"/>
    </row>
    <row r="16" spans="1:63" x14ac:dyDescent="0.3">
      <c r="A16">
        <v>41</v>
      </c>
      <c r="B16" t="str">
        <f>_xlfn.XLOOKUP(
A16,
Ward_Lookup!A:A,
Ward_Lookup!B:B,
"Ward not found"
)</f>
        <v>Padivattom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12</v>
      </c>
      <c r="I16">
        <v>1</v>
      </c>
      <c r="J16">
        <v>4</v>
      </c>
      <c r="K16">
        <v>2</v>
      </c>
      <c r="L16" t="s">
        <v>11</v>
      </c>
      <c r="BK16" s="1"/>
    </row>
    <row r="17" spans="1:63" x14ac:dyDescent="0.3">
      <c r="A17">
        <v>54</v>
      </c>
      <c r="B17" t="str">
        <f>_xlfn.XLOOKUP(
A17,
Ward_Lookup!A:A,
Ward_Lookup!B:B,
"Ward not found"
)</f>
        <v>Elamkulam</v>
      </c>
      <c r="C17">
        <v>2</v>
      </c>
      <c r="D17">
        <v>30</v>
      </c>
      <c r="E17">
        <v>14</v>
      </c>
      <c r="F17">
        <v>16</v>
      </c>
      <c r="G17">
        <v>2</v>
      </c>
      <c r="H17" t="s">
        <v>12</v>
      </c>
      <c r="I17">
        <v>0</v>
      </c>
      <c r="J17">
        <v>0</v>
      </c>
      <c r="K17">
        <v>0</v>
      </c>
      <c r="L17" t="s">
        <v>12</v>
      </c>
      <c r="BK17" s="1"/>
    </row>
    <row r="18" spans="1:63" x14ac:dyDescent="0.3">
      <c r="A18">
        <v>59</v>
      </c>
      <c r="B18" t="str">
        <f>_xlfn.XLOOKUP(
A18,
Ward_Lookup!A:A,
Ward_Lookup!B:B,
"Ward not found"
)</f>
        <v>Thevara</v>
      </c>
      <c r="C18">
        <v>2</v>
      </c>
      <c r="D18">
        <v>21</v>
      </c>
      <c r="E18">
        <v>11</v>
      </c>
      <c r="F18">
        <v>10</v>
      </c>
      <c r="G18">
        <v>1</v>
      </c>
      <c r="H18" t="s">
        <v>11</v>
      </c>
      <c r="I18">
        <v>10</v>
      </c>
      <c r="J18">
        <v>0</v>
      </c>
      <c r="K18">
        <v>3</v>
      </c>
      <c r="L18" t="s">
        <v>12</v>
      </c>
    </row>
    <row r="19" spans="1:63" x14ac:dyDescent="0.3">
      <c r="A19">
        <v>60</v>
      </c>
      <c r="B19" t="str">
        <f>_xlfn.XLOOKUP(
A19,
Ward_Lookup!A:A,
Ward_Lookup!B:B,
"Ward not found"
)</f>
        <v>Perumanoor</v>
      </c>
      <c r="C19">
        <v>5</v>
      </c>
      <c r="D19">
        <v>46</v>
      </c>
      <c r="E19">
        <v>25</v>
      </c>
      <c r="F19">
        <v>21</v>
      </c>
      <c r="G19">
        <v>3</v>
      </c>
      <c r="H19" t="s">
        <v>12</v>
      </c>
      <c r="I19">
        <v>5</v>
      </c>
      <c r="J19">
        <v>0</v>
      </c>
      <c r="K19">
        <v>0</v>
      </c>
      <c r="L19" t="s">
        <v>12</v>
      </c>
      <c r="BK19" s="1"/>
    </row>
    <row r="20" spans="1:63" s="3" customFormat="1" x14ac:dyDescent="0.3">
      <c r="A20" s="3">
        <v>63</v>
      </c>
      <c r="B20" t="str">
        <f>_xlfn.XLOOKUP(
A20,
Ward_Lookup!A:A,
Ward_Lookup!B:B,
"Ward not found"
)</f>
        <v>Gandhi Nagar</v>
      </c>
      <c r="BK20" s="2"/>
    </row>
    <row r="21" spans="1:63" x14ac:dyDescent="0.3">
      <c r="A21">
        <v>64</v>
      </c>
      <c r="B21" t="str">
        <f>_xlfn.XLOOKUP(
A21,
Ward_Lookup!A:A,
Ward_Lookup!B:B,
"Ward not found"
)</f>
        <v>Kathrikkadavu</v>
      </c>
      <c r="C21">
        <v>3</v>
      </c>
      <c r="D21">
        <v>20</v>
      </c>
      <c r="E21">
        <v>12</v>
      </c>
      <c r="F21">
        <v>8</v>
      </c>
      <c r="G21">
        <v>3</v>
      </c>
      <c r="H21" t="s">
        <v>12</v>
      </c>
      <c r="I21">
        <v>1</v>
      </c>
      <c r="J21">
        <v>2</v>
      </c>
      <c r="K21">
        <v>0</v>
      </c>
      <c r="L21" t="s">
        <v>11</v>
      </c>
      <c r="BK21" s="1"/>
    </row>
    <row r="22" spans="1:63" x14ac:dyDescent="0.3">
      <c r="A22">
        <v>73</v>
      </c>
      <c r="B22" t="str">
        <f>_xlfn.XLOOKUP(
A22,
Ward_Lookup!A:A,
Ward_Lookup!B:B,
"Ward not found"
)</f>
        <v>Pachalam</v>
      </c>
      <c r="C22">
        <v>1</v>
      </c>
      <c r="D22">
        <v>11</v>
      </c>
      <c r="E22">
        <v>5</v>
      </c>
      <c r="F22">
        <v>6</v>
      </c>
      <c r="G22">
        <v>1</v>
      </c>
      <c r="H22" t="s">
        <v>12</v>
      </c>
      <c r="I22">
        <v>0</v>
      </c>
      <c r="J22">
        <v>0</v>
      </c>
      <c r="K22">
        <v>0</v>
      </c>
      <c r="L22" t="s">
        <v>12</v>
      </c>
    </row>
    <row r="23" spans="1:63" x14ac:dyDescent="0.3">
      <c r="A23">
        <v>74</v>
      </c>
      <c r="B23" t="str">
        <f>_xlfn.XLOOKUP(
A23,
Ward_Lookup!A:A,
Ward_Lookup!B:B,
"Ward not found"
)</f>
        <v>Thattazham</v>
      </c>
      <c r="C23">
        <v>5</v>
      </c>
      <c r="D23">
        <v>36</v>
      </c>
      <c r="E23">
        <v>17</v>
      </c>
      <c r="F23">
        <v>19</v>
      </c>
      <c r="G23">
        <v>1</v>
      </c>
      <c r="H23" t="s">
        <v>12</v>
      </c>
      <c r="I23">
        <v>4</v>
      </c>
      <c r="J23">
        <v>0</v>
      </c>
      <c r="K23">
        <v>3</v>
      </c>
      <c r="L23" t="s">
        <v>12</v>
      </c>
      <c r="BK23" s="1"/>
    </row>
  </sheetData>
  <autoFilter ref="A1:BR2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4DCE-3CB2-41BB-BB97-10D951A508FE}">
  <dimension ref="A1:C16"/>
  <sheetViews>
    <sheetView workbookViewId="0">
      <selection activeCell="A24" sqref="A24"/>
    </sheetView>
  </sheetViews>
  <sheetFormatPr defaultRowHeight="14.4" x14ac:dyDescent="0.3"/>
  <cols>
    <col min="1" max="1" width="60.44140625" bestFit="1" customWidth="1"/>
    <col min="2" max="2" width="121.77734375" bestFit="1" customWidth="1"/>
    <col min="3" max="3" width="71.5546875" bestFit="1" customWidth="1"/>
  </cols>
  <sheetData>
    <row r="1" spans="1:3" ht="16.8" thickBot="1" x14ac:dyDescent="0.5">
      <c r="A1" s="4" t="s">
        <v>40</v>
      </c>
      <c r="B1" s="5" t="s">
        <v>41</v>
      </c>
      <c r="C1" s="5" t="s">
        <v>42</v>
      </c>
    </row>
    <row r="2" spans="1:3" x14ac:dyDescent="0.3">
      <c r="A2" s="6" t="s">
        <v>0</v>
      </c>
      <c r="B2" s="7" t="s">
        <v>43</v>
      </c>
      <c r="C2" s="8" t="s">
        <v>44</v>
      </c>
    </row>
    <row r="3" spans="1:3" ht="15" thickBot="1" x14ac:dyDescent="0.35">
      <c r="A3" s="9" t="s">
        <v>45</v>
      </c>
      <c r="B3" s="10" t="s">
        <v>46</v>
      </c>
      <c r="C3" s="11"/>
    </row>
    <row r="4" spans="1:3" x14ac:dyDescent="0.3">
      <c r="A4" s="9" t="s">
        <v>47</v>
      </c>
      <c r="B4" s="10" t="s">
        <v>48</v>
      </c>
      <c r="C4" s="8" t="s">
        <v>49</v>
      </c>
    </row>
    <row r="5" spans="1:3" x14ac:dyDescent="0.3">
      <c r="A5" s="9" t="s">
        <v>50</v>
      </c>
      <c r="B5" s="10" t="s">
        <v>51</v>
      </c>
      <c r="C5" s="12"/>
    </row>
    <row r="6" spans="1:3" x14ac:dyDescent="0.3">
      <c r="A6" s="9" t="s">
        <v>52</v>
      </c>
      <c r="B6" s="10" t="s">
        <v>53</v>
      </c>
      <c r="C6" s="12"/>
    </row>
    <row r="7" spans="1:3" x14ac:dyDescent="0.3">
      <c r="A7" s="9" t="s">
        <v>4</v>
      </c>
      <c r="B7" s="10" t="s">
        <v>54</v>
      </c>
      <c r="C7" s="12"/>
    </row>
    <row r="8" spans="1:3" ht="15" thickBot="1" x14ac:dyDescent="0.35">
      <c r="A8" s="9" t="s">
        <v>5</v>
      </c>
      <c r="B8" s="10" t="s">
        <v>55</v>
      </c>
      <c r="C8" s="11"/>
    </row>
    <row r="9" spans="1:3" ht="15" thickBot="1" x14ac:dyDescent="0.35">
      <c r="A9" s="9" t="s">
        <v>6</v>
      </c>
      <c r="B9" s="10" t="s">
        <v>56</v>
      </c>
      <c r="C9" s="13"/>
    </row>
    <row r="10" spans="1:3" ht="15" thickBot="1" x14ac:dyDescent="0.35">
      <c r="A10" s="9" t="s">
        <v>7</v>
      </c>
      <c r="B10" s="10" t="s">
        <v>57</v>
      </c>
      <c r="C10" s="13" t="s">
        <v>58</v>
      </c>
    </row>
    <row r="11" spans="1:3" ht="15" thickBot="1" x14ac:dyDescent="0.35">
      <c r="A11" s="9" t="s">
        <v>8</v>
      </c>
      <c r="B11" s="10" t="s">
        <v>59</v>
      </c>
      <c r="C11" s="13" t="s">
        <v>60</v>
      </c>
    </row>
    <row r="12" spans="1:3" ht="15" thickBot="1" x14ac:dyDescent="0.35">
      <c r="A12" s="9" t="s">
        <v>9</v>
      </c>
      <c r="B12" s="10" t="s">
        <v>61</v>
      </c>
      <c r="C12" s="13"/>
    </row>
    <row r="13" spans="1:3" ht="15" thickBot="1" x14ac:dyDescent="0.35">
      <c r="A13" s="9" t="s">
        <v>10</v>
      </c>
      <c r="B13" s="10" t="s">
        <v>62</v>
      </c>
      <c r="C13" s="13"/>
    </row>
    <row r="15" spans="1:3" x14ac:dyDescent="0.3">
      <c r="A15" s="9" t="s">
        <v>63</v>
      </c>
    </row>
    <row r="16" spans="1:3" x14ac:dyDescent="0.3">
      <c r="A16" s="9" t="s">
        <v>64</v>
      </c>
    </row>
  </sheetData>
  <mergeCells count="2">
    <mergeCell ref="C2:C3"/>
    <mergeCell ref="C4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0BD7-FBFC-43B4-8834-9D85986C9947}">
  <dimension ref="A1:B26"/>
  <sheetViews>
    <sheetView workbookViewId="0">
      <selection activeCell="D8" sqref="D8"/>
    </sheetView>
  </sheetViews>
  <sheetFormatPr defaultRowHeight="14.4" x14ac:dyDescent="0.3"/>
  <cols>
    <col min="1" max="1" width="12.44140625" bestFit="1" customWidth="1"/>
    <col min="2" max="2" width="15.7773437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>
        <v>1</v>
      </c>
      <c r="B2" t="s">
        <v>15</v>
      </c>
    </row>
    <row r="3" spans="1:2" x14ac:dyDescent="0.3">
      <c r="A3">
        <v>9</v>
      </c>
      <c r="B3" t="s">
        <v>16</v>
      </c>
    </row>
    <row r="4" spans="1:2" x14ac:dyDescent="0.3">
      <c r="A4">
        <v>10</v>
      </c>
      <c r="B4" t="s">
        <v>17</v>
      </c>
    </row>
    <row r="5" spans="1:2" x14ac:dyDescent="0.3">
      <c r="A5">
        <v>12</v>
      </c>
      <c r="B5" t="s">
        <v>18</v>
      </c>
    </row>
    <row r="6" spans="1:2" x14ac:dyDescent="0.3">
      <c r="A6">
        <v>13</v>
      </c>
      <c r="B6" t="s">
        <v>19</v>
      </c>
    </row>
    <row r="7" spans="1:2" x14ac:dyDescent="0.3">
      <c r="A7">
        <v>20</v>
      </c>
      <c r="B7" t="s">
        <v>20</v>
      </c>
    </row>
    <row r="8" spans="1:2" x14ac:dyDescent="0.3">
      <c r="A8">
        <v>22</v>
      </c>
      <c r="B8" t="s">
        <v>21</v>
      </c>
    </row>
    <row r="9" spans="1:2" x14ac:dyDescent="0.3">
      <c r="A9">
        <v>26</v>
      </c>
      <c r="B9" t="s">
        <v>22</v>
      </c>
    </row>
    <row r="10" spans="1:2" x14ac:dyDescent="0.3">
      <c r="A10">
        <v>28</v>
      </c>
      <c r="B10" t="s">
        <v>23</v>
      </c>
    </row>
    <row r="11" spans="1:2" x14ac:dyDescent="0.3">
      <c r="A11">
        <v>31</v>
      </c>
      <c r="B11" t="s">
        <v>24</v>
      </c>
    </row>
    <row r="12" spans="1:2" x14ac:dyDescent="0.3">
      <c r="A12">
        <v>33</v>
      </c>
      <c r="B12" t="s">
        <v>25</v>
      </c>
    </row>
    <row r="13" spans="1:2" x14ac:dyDescent="0.3">
      <c r="A13">
        <v>34</v>
      </c>
      <c r="B13" t="s">
        <v>26</v>
      </c>
    </row>
    <row r="14" spans="1:2" x14ac:dyDescent="0.3">
      <c r="A14">
        <v>37</v>
      </c>
      <c r="B14" t="s">
        <v>27</v>
      </c>
    </row>
    <row r="15" spans="1:2" x14ac:dyDescent="0.3">
      <c r="A15">
        <v>40</v>
      </c>
      <c r="B15" t="s">
        <v>28</v>
      </c>
    </row>
    <row r="16" spans="1:2" x14ac:dyDescent="0.3">
      <c r="A16">
        <v>41</v>
      </c>
      <c r="B16" t="s">
        <v>29</v>
      </c>
    </row>
    <row r="17" spans="1:2" x14ac:dyDescent="0.3">
      <c r="A17">
        <v>47</v>
      </c>
      <c r="B17" t="s">
        <v>30</v>
      </c>
    </row>
    <row r="18" spans="1:2" x14ac:dyDescent="0.3">
      <c r="A18">
        <v>48</v>
      </c>
      <c r="B18" t="s">
        <v>31</v>
      </c>
    </row>
    <row r="19" spans="1:2" x14ac:dyDescent="0.3">
      <c r="A19">
        <v>50</v>
      </c>
      <c r="B19" t="s">
        <v>32</v>
      </c>
    </row>
    <row r="20" spans="1:2" x14ac:dyDescent="0.3">
      <c r="A20">
        <v>54</v>
      </c>
      <c r="B20" t="s">
        <v>33</v>
      </c>
    </row>
    <row r="21" spans="1:2" x14ac:dyDescent="0.3">
      <c r="A21">
        <v>59</v>
      </c>
      <c r="B21" t="s">
        <v>34</v>
      </c>
    </row>
    <row r="22" spans="1:2" x14ac:dyDescent="0.3">
      <c r="A22">
        <v>60</v>
      </c>
      <c r="B22" t="s">
        <v>35</v>
      </c>
    </row>
    <row r="23" spans="1:2" x14ac:dyDescent="0.3">
      <c r="A23">
        <v>63</v>
      </c>
      <c r="B23" t="s">
        <v>36</v>
      </c>
    </row>
    <row r="24" spans="1:2" x14ac:dyDescent="0.3">
      <c r="A24">
        <v>64</v>
      </c>
      <c r="B24" t="s">
        <v>37</v>
      </c>
    </row>
    <row r="25" spans="1:2" x14ac:dyDescent="0.3">
      <c r="A25">
        <v>73</v>
      </c>
      <c r="B25" t="s">
        <v>38</v>
      </c>
    </row>
    <row r="26" spans="1:2" x14ac:dyDescent="0.3">
      <c r="A26">
        <v>74</v>
      </c>
      <c r="B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Education-Ward Level_Final</vt:lpstr>
      <vt:lpstr>Description</vt:lpstr>
      <vt:lpstr>Ward_Lookup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 Sharma</cp:lastModifiedBy>
  <dcterms:created xsi:type="dcterms:W3CDTF">2025-09-16T04:30:57Z</dcterms:created>
  <dcterms:modified xsi:type="dcterms:W3CDTF">2026-01-24T11:30:47Z</dcterms:modified>
</cp:coreProperties>
</file>